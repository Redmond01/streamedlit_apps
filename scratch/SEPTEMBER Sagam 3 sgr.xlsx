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BEDDINGS\"/>
    </mc:Choice>
  </mc:AlternateContent>
  <bookViews>
    <workbookView xWindow="0" yWindow="0" windowWidth="20490" windowHeight="7455" firstSheet="14" activeTab="2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0" i="23" l="1"/>
  <c r="AL29" i="23"/>
  <c r="AL28" i="23"/>
  <c r="AL27" i="23"/>
  <c r="AL26" i="23"/>
  <c r="AL25" i="23"/>
  <c r="J30" i="23"/>
  <c r="J29" i="23"/>
  <c r="J28" i="23"/>
  <c r="J27" i="23"/>
  <c r="J26" i="23"/>
  <c r="J25" i="23"/>
  <c r="AJ30" i="23" l="1"/>
  <c r="H30" i="23"/>
  <c r="AJ29" i="23"/>
  <c r="H29" i="23"/>
  <c r="AJ28" i="23"/>
  <c r="H28" i="23"/>
  <c r="AY27" i="23"/>
  <c r="AJ27" i="23"/>
  <c r="W27" i="23"/>
  <c r="H27" i="23"/>
  <c r="AJ26" i="23"/>
  <c r="H26" i="23"/>
  <c r="AJ25" i="23"/>
  <c r="H25" i="23"/>
  <c r="AS21" i="23"/>
  <c r="O21" i="23"/>
  <c r="AS20" i="23"/>
  <c r="AQ20" i="23"/>
  <c r="AO20" i="23"/>
  <c r="AM20" i="23"/>
  <c r="Q20" i="23"/>
  <c r="O20" i="23"/>
  <c r="M20" i="23"/>
  <c r="K20" i="23"/>
  <c r="AS19" i="23"/>
  <c r="AQ19" i="23"/>
  <c r="AQ21" i="23" s="1"/>
  <c r="AO19" i="23"/>
  <c r="AO21" i="23" s="1"/>
  <c r="AM19" i="23"/>
  <c r="AM21" i="23" s="1"/>
  <c r="Q19" i="23"/>
  <c r="O19" i="23"/>
  <c r="M19" i="23"/>
  <c r="K19" i="23"/>
  <c r="AS18" i="23"/>
  <c r="O18" i="23"/>
  <c r="AS17" i="23"/>
  <c r="AQ17" i="23"/>
  <c r="AO17" i="23"/>
  <c r="AM17" i="23"/>
  <c r="Q17" i="23"/>
  <c r="O17" i="23"/>
  <c r="M17" i="23"/>
  <c r="K17" i="23"/>
  <c r="AS16" i="23"/>
  <c r="AQ16" i="23"/>
  <c r="AO16" i="23"/>
  <c r="AO18" i="23" s="1"/>
  <c r="AM16" i="23"/>
  <c r="Q16" i="23"/>
  <c r="Q18" i="23" s="1"/>
  <c r="O16" i="23"/>
  <c r="M16" i="23"/>
  <c r="M18" i="23" s="1"/>
  <c r="K16" i="23"/>
  <c r="K18" i="23" s="1"/>
  <c r="AC15" i="23"/>
  <c r="Q15" i="23"/>
  <c r="AS14" i="23"/>
  <c r="AQ14" i="23"/>
  <c r="AO14" i="23"/>
  <c r="AM14" i="23"/>
  <c r="Q14" i="23"/>
  <c r="O14" i="23"/>
  <c r="M14" i="23"/>
  <c r="K14" i="23"/>
  <c r="AS13" i="23"/>
  <c r="AS15" i="23" s="1"/>
  <c r="AQ13" i="23"/>
  <c r="AQ15" i="23" s="1"/>
  <c r="AO13" i="23"/>
  <c r="AO15" i="23" s="1"/>
  <c r="AM13" i="23"/>
  <c r="AM15" i="23" s="1"/>
  <c r="Q13" i="23"/>
  <c r="O13" i="23"/>
  <c r="O15" i="23" s="1"/>
  <c r="M13" i="23"/>
  <c r="M15" i="23" s="1"/>
  <c r="K13" i="23"/>
  <c r="K15" i="23" s="1"/>
  <c r="AQ12" i="23"/>
  <c r="AM12" i="23"/>
  <c r="Q12" i="23"/>
  <c r="AS11" i="23"/>
  <c r="AQ11" i="23"/>
  <c r="AO11" i="23"/>
  <c r="AM11" i="23"/>
  <c r="Q11" i="23"/>
  <c r="O11" i="23"/>
  <c r="M11" i="23"/>
  <c r="K11" i="23"/>
  <c r="AS10" i="23"/>
  <c r="AQ10" i="23"/>
  <c r="AO10" i="23"/>
  <c r="AM10" i="23"/>
  <c r="Q10" i="23"/>
  <c r="O10" i="23"/>
  <c r="M10" i="23"/>
  <c r="M12" i="23" s="1"/>
  <c r="K10" i="23"/>
  <c r="AQ9" i="23"/>
  <c r="Q9" i="23"/>
  <c r="AS8" i="23"/>
  <c r="AQ8" i="23"/>
  <c r="AO8" i="23"/>
  <c r="AM8" i="23"/>
  <c r="AU8" i="23" s="1"/>
  <c r="Q8" i="23"/>
  <c r="O8" i="23"/>
  <c r="M8" i="23"/>
  <c r="K8" i="23"/>
  <c r="AS7" i="23"/>
  <c r="AS9" i="23" s="1"/>
  <c r="AQ7" i="23"/>
  <c r="AO7" i="23"/>
  <c r="AO9" i="23" s="1"/>
  <c r="AM7" i="23"/>
  <c r="AM9" i="23" s="1"/>
  <c r="Q7" i="23"/>
  <c r="O7" i="23"/>
  <c r="O9" i="23" s="1"/>
  <c r="M7" i="23"/>
  <c r="M9" i="23" s="1"/>
  <c r="K7" i="23"/>
  <c r="K9" i="23" s="1"/>
  <c r="Q6" i="23"/>
  <c r="AS5" i="23"/>
  <c r="AQ5" i="23"/>
  <c r="AO5" i="23"/>
  <c r="AM5" i="23"/>
  <c r="Q5" i="23"/>
  <c r="O5" i="23"/>
  <c r="M5" i="23"/>
  <c r="K5" i="23"/>
  <c r="AS4" i="23"/>
  <c r="AS6" i="23" s="1"/>
  <c r="AQ4" i="23"/>
  <c r="AQ6" i="23" s="1"/>
  <c r="AO4" i="23"/>
  <c r="AO6" i="23" s="1"/>
  <c r="AM4" i="23"/>
  <c r="Q4" i="23"/>
  <c r="O4" i="23"/>
  <c r="O6" i="23" s="1"/>
  <c r="M4" i="23"/>
  <c r="M6" i="23" s="1"/>
  <c r="K4" i="23"/>
  <c r="AU14" i="23" l="1"/>
  <c r="AU17" i="23"/>
  <c r="S19" i="23"/>
  <c r="S17" i="23"/>
  <c r="AU5" i="23"/>
  <c r="AU10" i="23"/>
  <c r="AG15" i="23"/>
  <c r="AG21" i="23"/>
  <c r="AK30" i="23" s="1"/>
  <c r="AM30" i="23" s="1"/>
  <c r="AU20" i="23"/>
  <c r="K21" i="23"/>
  <c r="S5" i="23"/>
  <c r="E9" i="23"/>
  <c r="S8" i="23"/>
  <c r="S11" i="23"/>
  <c r="E15" i="23"/>
  <c r="I28" i="23" s="1"/>
  <c r="S14" i="23"/>
  <c r="AK28" i="23"/>
  <c r="AM28" i="23" s="1"/>
  <c r="AU4" i="23"/>
  <c r="AM6" i="23"/>
  <c r="AG6" i="23" s="1"/>
  <c r="S7" i="23"/>
  <c r="S13" i="23"/>
  <c r="AU19" i="23"/>
  <c r="K6" i="23"/>
  <c r="E6" i="23" s="1"/>
  <c r="S4" i="23"/>
  <c r="AU7" i="23"/>
  <c r="AG9" i="23"/>
  <c r="K12" i="23"/>
  <c r="E12" i="23" s="1"/>
  <c r="O12" i="23"/>
  <c r="S10" i="23"/>
  <c r="AO12" i="23"/>
  <c r="AG12" i="23" s="1"/>
  <c r="AS12" i="23"/>
  <c r="AU11" i="23"/>
  <c r="S16" i="23"/>
  <c r="AM18" i="23"/>
  <c r="AQ18" i="23"/>
  <c r="AU16" i="23"/>
  <c r="E18" i="23"/>
  <c r="M21" i="23"/>
  <c r="Q21" i="23"/>
  <c r="E21" i="23" s="1"/>
  <c r="S20" i="23"/>
  <c r="AU13" i="23"/>
  <c r="AJ30" i="22"/>
  <c r="H30" i="22"/>
  <c r="AJ29" i="22"/>
  <c r="H29" i="22"/>
  <c r="AJ28" i="22"/>
  <c r="H28" i="22"/>
  <c r="AY27" i="22"/>
  <c r="AJ27" i="22"/>
  <c r="W27" i="22"/>
  <c r="H27" i="22"/>
  <c r="AJ26" i="22"/>
  <c r="H26" i="22"/>
  <c r="AJ25" i="22"/>
  <c r="H25" i="22"/>
  <c r="AS20" i="22"/>
  <c r="AQ20" i="22"/>
  <c r="AO20" i="22"/>
  <c r="AM20" i="22"/>
  <c r="AU20" i="22" s="1"/>
  <c r="Q20" i="22"/>
  <c r="O20" i="22"/>
  <c r="M20" i="22"/>
  <c r="K20" i="22"/>
  <c r="S20" i="22" s="1"/>
  <c r="AS19" i="22"/>
  <c r="AS21" i="22" s="1"/>
  <c r="AQ19" i="22"/>
  <c r="AQ21" i="22" s="1"/>
  <c r="AO19" i="22"/>
  <c r="AO21" i="22" s="1"/>
  <c r="AM19" i="22"/>
  <c r="AM21" i="22" s="1"/>
  <c r="AG21" i="22" s="1"/>
  <c r="Q19" i="22"/>
  <c r="Q21" i="22" s="1"/>
  <c r="O19" i="22"/>
  <c r="O21" i="22" s="1"/>
  <c r="M19" i="22"/>
  <c r="M21" i="22" s="1"/>
  <c r="K19" i="22"/>
  <c r="S19" i="22" s="1"/>
  <c r="AS17" i="22"/>
  <c r="AQ17" i="22"/>
  <c r="AO17" i="22"/>
  <c r="AM17" i="22"/>
  <c r="AU17" i="22" s="1"/>
  <c r="Q17" i="22"/>
  <c r="O17" i="22"/>
  <c r="M17" i="22"/>
  <c r="K17" i="22"/>
  <c r="S17" i="22" s="1"/>
  <c r="AS16" i="22"/>
  <c r="AS18" i="22" s="1"/>
  <c r="AQ16" i="22"/>
  <c r="AQ18" i="22" s="1"/>
  <c r="AO16" i="22"/>
  <c r="AO18" i="22" s="1"/>
  <c r="AM16" i="22"/>
  <c r="AM18" i="22" s="1"/>
  <c r="AG18" i="22" s="1"/>
  <c r="Q16" i="22"/>
  <c r="Q18" i="22" s="1"/>
  <c r="O16" i="22"/>
  <c r="O18" i="22" s="1"/>
  <c r="M16" i="22"/>
  <c r="M18" i="22" s="1"/>
  <c r="K16" i="22"/>
  <c r="S16" i="22" s="1"/>
  <c r="AC15" i="22"/>
  <c r="AS14" i="22"/>
  <c r="AQ14" i="22"/>
  <c r="AO14" i="22"/>
  <c r="AM14" i="22"/>
  <c r="Q14" i="22"/>
  <c r="O14" i="22"/>
  <c r="M14" i="22"/>
  <c r="K14" i="22"/>
  <c r="AS13" i="22"/>
  <c r="AS15" i="22" s="1"/>
  <c r="AQ13" i="22"/>
  <c r="AQ15" i="22" s="1"/>
  <c r="AO13" i="22"/>
  <c r="AO15" i="22" s="1"/>
  <c r="AM13" i="22"/>
  <c r="AM15" i="22" s="1"/>
  <c r="Q13" i="22"/>
  <c r="Q15" i="22" s="1"/>
  <c r="O13" i="22"/>
  <c r="O15" i="22" s="1"/>
  <c r="M13" i="22"/>
  <c r="M15" i="22" s="1"/>
  <c r="K13" i="22"/>
  <c r="K15" i="22" s="1"/>
  <c r="AS11" i="22"/>
  <c r="AQ11" i="22"/>
  <c r="AO11" i="22"/>
  <c r="AM11" i="22"/>
  <c r="Q11" i="22"/>
  <c r="O11" i="22"/>
  <c r="M11" i="22"/>
  <c r="K11" i="22"/>
  <c r="AS10" i="22"/>
  <c r="AS12" i="22" s="1"/>
  <c r="AQ10" i="22"/>
  <c r="AQ12" i="22" s="1"/>
  <c r="AO10" i="22"/>
  <c r="AO12" i="22" s="1"/>
  <c r="AM10" i="22"/>
  <c r="Q10" i="22"/>
  <c r="Q12" i="22" s="1"/>
  <c r="O10" i="22"/>
  <c r="O12" i="22" s="1"/>
  <c r="M10" i="22"/>
  <c r="M12" i="22" s="1"/>
  <c r="K10" i="22"/>
  <c r="K12" i="22" s="1"/>
  <c r="AS8" i="22"/>
  <c r="AQ8" i="22"/>
  <c r="AO8" i="22"/>
  <c r="AM8" i="22"/>
  <c r="Q8" i="22"/>
  <c r="O8" i="22"/>
  <c r="M8" i="22"/>
  <c r="K8" i="22"/>
  <c r="AS7" i="22"/>
  <c r="AS9" i="22" s="1"/>
  <c r="AQ7" i="22"/>
  <c r="AQ9" i="22" s="1"/>
  <c r="AO7" i="22"/>
  <c r="AO9" i="22" s="1"/>
  <c r="AM7" i="22"/>
  <c r="Q7" i="22"/>
  <c r="Q9" i="22" s="1"/>
  <c r="O7" i="22"/>
  <c r="O9" i="22" s="1"/>
  <c r="M7" i="22"/>
  <c r="M9" i="22" s="1"/>
  <c r="K7" i="22"/>
  <c r="K9" i="22" s="1"/>
  <c r="AS5" i="22"/>
  <c r="AQ5" i="22"/>
  <c r="AO5" i="22"/>
  <c r="AM5" i="22"/>
  <c r="Q5" i="22"/>
  <c r="O5" i="22"/>
  <c r="M5" i="22"/>
  <c r="K5" i="22"/>
  <c r="AS4" i="22"/>
  <c r="AS6" i="22" s="1"/>
  <c r="AQ4" i="22"/>
  <c r="AQ6" i="22" s="1"/>
  <c r="AO4" i="22"/>
  <c r="AO6" i="22" s="1"/>
  <c r="AM4" i="22"/>
  <c r="Q4" i="22"/>
  <c r="Q6" i="22" s="1"/>
  <c r="O4" i="22"/>
  <c r="O6" i="22" s="1"/>
  <c r="M4" i="22"/>
  <c r="M6" i="22" s="1"/>
  <c r="K4" i="22"/>
  <c r="I26" i="23" l="1"/>
  <c r="K28" i="23"/>
  <c r="K26" i="23"/>
  <c r="I30" i="23"/>
  <c r="AK27" i="23"/>
  <c r="V5" i="23"/>
  <c r="I29" i="23"/>
  <c r="K29" i="23" s="1"/>
  <c r="I27" i="23"/>
  <c r="V4" i="23"/>
  <c r="I25" i="23"/>
  <c r="K25" i="23" s="1"/>
  <c r="AU22" i="23"/>
  <c r="AG18" i="23"/>
  <c r="AK26" i="23"/>
  <c r="S22" i="23"/>
  <c r="U33" i="23" s="1"/>
  <c r="K22" i="23"/>
  <c r="AX4" i="23"/>
  <c r="AK25" i="23"/>
  <c r="AM25" i="23" s="1"/>
  <c r="AM22" i="23"/>
  <c r="AU5" i="22"/>
  <c r="AU7" i="22"/>
  <c r="AU8" i="22"/>
  <c r="AU10" i="22"/>
  <c r="AU11" i="22"/>
  <c r="AU14" i="22"/>
  <c r="S5" i="22"/>
  <c r="S8" i="22"/>
  <c r="S11" i="22"/>
  <c r="S14" i="22"/>
  <c r="AL29" i="22"/>
  <c r="AX5" i="22"/>
  <c r="AK29" i="22"/>
  <c r="AM29" i="22" s="1"/>
  <c r="AL30" i="22"/>
  <c r="AK30" i="22"/>
  <c r="E9" i="22"/>
  <c r="E12" i="22"/>
  <c r="E15" i="22"/>
  <c r="AG15" i="22"/>
  <c r="S4" i="22"/>
  <c r="AU4" i="22"/>
  <c r="AM6" i="22"/>
  <c r="AG6" i="22" s="1"/>
  <c r="S7" i="22"/>
  <c r="AM9" i="22"/>
  <c r="AG9" i="22" s="1"/>
  <c r="S10" i="22"/>
  <c r="AM12" i="22"/>
  <c r="AG12" i="22" s="1"/>
  <c r="S13" i="22"/>
  <c r="AU16" i="22"/>
  <c r="K18" i="22"/>
  <c r="E18" i="22" s="1"/>
  <c r="AU19" i="22"/>
  <c r="K21" i="22"/>
  <c r="E21" i="22" s="1"/>
  <c r="K6" i="22"/>
  <c r="E6" i="22" s="1"/>
  <c r="AU13" i="22"/>
  <c r="AJ30" i="21"/>
  <c r="H30" i="21"/>
  <c r="AJ29" i="21"/>
  <c r="H29" i="21"/>
  <c r="AJ28" i="21"/>
  <c r="H28" i="21"/>
  <c r="AY27" i="21"/>
  <c r="AJ27" i="21"/>
  <c r="W27" i="21"/>
  <c r="H27" i="21"/>
  <c r="AJ26" i="21"/>
  <c r="H26" i="21"/>
  <c r="AJ25" i="21"/>
  <c r="H25" i="21"/>
  <c r="AS20" i="21"/>
  <c r="AQ20" i="21"/>
  <c r="AO20" i="21"/>
  <c r="AM20" i="21"/>
  <c r="AU20" i="21" s="1"/>
  <c r="Q20" i="21"/>
  <c r="O20" i="21"/>
  <c r="M20" i="21"/>
  <c r="K20" i="21"/>
  <c r="S20" i="21" s="1"/>
  <c r="AS19" i="21"/>
  <c r="AS21" i="21" s="1"/>
  <c r="AQ19" i="21"/>
  <c r="AQ21" i="21" s="1"/>
  <c r="AO19" i="21"/>
  <c r="AO21" i="21" s="1"/>
  <c r="AM19" i="21"/>
  <c r="AM21" i="21" s="1"/>
  <c r="AG21" i="21" s="1"/>
  <c r="Q19" i="21"/>
  <c r="Q21" i="21" s="1"/>
  <c r="O19" i="21"/>
  <c r="O21" i="21" s="1"/>
  <c r="M19" i="21"/>
  <c r="M21" i="21" s="1"/>
  <c r="K19" i="21"/>
  <c r="S19" i="21" s="1"/>
  <c r="AS17" i="21"/>
  <c r="AQ17" i="21"/>
  <c r="AO17" i="21"/>
  <c r="AM17" i="21"/>
  <c r="AU17" i="21" s="1"/>
  <c r="Q17" i="21"/>
  <c r="O17" i="21"/>
  <c r="M17" i="21"/>
  <c r="K17" i="21"/>
  <c r="S17" i="21" s="1"/>
  <c r="AS16" i="21"/>
  <c r="AS18" i="21" s="1"/>
  <c r="AQ16" i="21"/>
  <c r="AQ18" i="21" s="1"/>
  <c r="AO16" i="21"/>
  <c r="AO18" i="21" s="1"/>
  <c r="AM16" i="21"/>
  <c r="AM18" i="21" s="1"/>
  <c r="AG18" i="21" s="1"/>
  <c r="Q16" i="21"/>
  <c r="Q18" i="21" s="1"/>
  <c r="O16" i="21"/>
  <c r="O18" i="21" s="1"/>
  <c r="M16" i="21"/>
  <c r="M18" i="21" s="1"/>
  <c r="K16" i="21"/>
  <c r="S16" i="21" s="1"/>
  <c r="AC15" i="21"/>
  <c r="AS14" i="21"/>
  <c r="AQ14" i="21"/>
  <c r="AO14" i="21"/>
  <c r="AM14" i="21"/>
  <c r="Q14" i="21"/>
  <c r="O14" i="21"/>
  <c r="M14" i="21"/>
  <c r="K14" i="21"/>
  <c r="AS13" i="21"/>
  <c r="AS15" i="21" s="1"/>
  <c r="AQ13" i="21"/>
  <c r="AQ15" i="21" s="1"/>
  <c r="AO13" i="21"/>
  <c r="AO15" i="21" s="1"/>
  <c r="AM13" i="21"/>
  <c r="AM15" i="21" s="1"/>
  <c r="Q13" i="21"/>
  <c r="Q15" i="21" s="1"/>
  <c r="O13" i="21"/>
  <c r="O15" i="21" s="1"/>
  <c r="M13" i="21"/>
  <c r="M15" i="21" s="1"/>
  <c r="K13" i="21"/>
  <c r="K15" i="21" s="1"/>
  <c r="AS11" i="21"/>
  <c r="AQ11" i="21"/>
  <c r="AO11" i="21"/>
  <c r="AM11" i="21"/>
  <c r="Q11" i="21"/>
  <c r="O11" i="21"/>
  <c r="M11" i="21"/>
  <c r="K11" i="21"/>
  <c r="AS10" i="21"/>
  <c r="AS12" i="21" s="1"/>
  <c r="AQ10" i="21"/>
  <c r="AQ12" i="21" s="1"/>
  <c r="AO10" i="21"/>
  <c r="AM10" i="21"/>
  <c r="Q10" i="21"/>
  <c r="Q12" i="21" s="1"/>
  <c r="O10" i="21"/>
  <c r="O12" i="21" s="1"/>
  <c r="M10" i="21"/>
  <c r="M12" i="21" s="1"/>
  <c r="K10" i="21"/>
  <c r="K12" i="21" s="1"/>
  <c r="AS8" i="21"/>
  <c r="AQ8" i="21"/>
  <c r="AO8" i="21"/>
  <c r="AM8" i="21"/>
  <c r="Q8" i="21"/>
  <c r="O8" i="21"/>
  <c r="M8" i="21"/>
  <c r="K8" i="21"/>
  <c r="AS7" i="21"/>
  <c r="AS9" i="21" s="1"/>
  <c r="AQ7" i="21"/>
  <c r="AQ9" i="21" s="1"/>
  <c r="AO7" i="21"/>
  <c r="AO9" i="21" s="1"/>
  <c r="AM7" i="21"/>
  <c r="Q7" i="21"/>
  <c r="Q9" i="21" s="1"/>
  <c r="O7" i="21"/>
  <c r="O9" i="21" s="1"/>
  <c r="M7" i="21"/>
  <c r="M9" i="21" s="1"/>
  <c r="K7" i="21"/>
  <c r="K9" i="21" s="1"/>
  <c r="AS5" i="21"/>
  <c r="AQ5" i="21"/>
  <c r="AO5" i="21"/>
  <c r="AM5" i="21"/>
  <c r="Q5" i="21"/>
  <c r="O5" i="21"/>
  <c r="M5" i="21"/>
  <c r="K5" i="21"/>
  <c r="AS4" i="21"/>
  <c r="AS6" i="21" s="1"/>
  <c r="AQ4" i="21"/>
  <c r="AQ6" i="21" s="1"/>
  <c r="AO4" i="21"/>
  <c r="AO6" i="21" s="1"/>
  <c r="AM4" i="21"/>
  <c r="Q4" i="21"/>
  <c r="Q6" i="21" s="1"/>
  <c r="O4" i="21"/>
  <c r="O6" i="21" s="1"/>
  <c r="M4" i="21"/>
  <c r="M6" i="21" s="1"/>
  <c r="K4" i="21"/>
  <c r="AM26" i="23" l="1"/>
  <c r="K30" i="23"/>
  <c r="AX5" i="23"/>
  <c r="AK29" i="23"/>
  <c r="AM29" i="23" s="1"/>
  <c r="K27" i="23"/>
  <c r="AM27" i="23"/>
  <c r="J25" i="22"/>
  <c r="V4" i="22"/>
  <c r="I25" i="22"/>
  <c r="K25" i="22" s="1"/>
  <c r="AK27" i="22"/>
  <c r="AM27" i="22" s="1"/>
  <c r="AL27" i="22"/>
  <c r="AL26" i="22"/>
  <c r="AK26" i="22"/>
  <c r="AL25" i="22"/>
  <c r="AX4" i="22"/>
  <c r="AK25" i="22"/>
  <c r="AM25" i="22" s="1"/>
  <c r="S22" i="22"/>
  <c r="U33" i="22" s="1"/>
  <c r="J28" i="22"/>
  <c r="I28" i="22"/>
  <c r="J26" i="22"/>
  <c r="I26" i="22"/>
  <c r="K22" i="22"/>
  <c r="J30" i="22"/>
  <c r="I30" i="22"/>
  <c r="J29" i="22"/>
  <c r="V5" i="22"/>
  <c r="I29" i="22"/>
  <c r="K29" i="22" s="1"/>
  <c r="AU22" i="22"/>
  <c r="AL28" i="22"/>
  <c r="AK28" i="22"/>
  <c r="J27" i="22"/>
  <c r="I27" i="22"/>
  <c r="AM22" i="22"/>
  <c r="AM30" i="22"/>
  <c r="AO12" i="21"/>
  <c r="AU5" i="21"/>
  <c r="AU7" i="21"/>
  <c r="AU8" i="21"/>
  <c r="AU10" i="21"/>
  <c r="AU11" i="21"/>
  <c r="AU14" i="21"/>
  <c r="S5" i="21"/>
  <c r="S8" i="21"/>
  <c r="S11" i="21"/>
  <c r="S14" i="21"/>
  <c r="AL29" i="21"/>
  <c r="AX5" i="21"/>
  <c r="AK29" i="21"/>
  <c r="AM29" i="21" s="1"/>
  <c r="AL30" i="21"/>
  <c r="AK30" i="21"/>
  <c r="E9" i="21"/>
  <c r="E12" i="21"/>
  <c r="E15" i="21"/>
  <c r="AG15" i="21"/>
  <c r="S4" i="21"/>
  <c r="AU4" i="21"/>
  <c r="AM6" i="21"/>
  <c r="AG6" i="21" s="1"/>
  <c r="S7" i="21"/>
  <c r="AM9" i="21"/>
  <c r="AG9" i="21" s="1"/>
  <c r="S10" i="21"/>
  <c r="AM12" i="21"/>
  <c r="AG12" i="21" s="1"/>
  <c r="S13" i="21"/>
  <c r="AU16" i="21"/>
  <c r="K18" i="21"/>
  <c r="E18" i="21" s="1"/>
  <c r="AU19" i="21"/>
  <c r="K21" i="21"/>
  <c r="E21" i="21" s="1"/>
  <c r="K6" i="21"/>
  <c r="E6" i="21" s="1"/>
  <c r="AU13" i="21"/>
  <c r="AJ30" i="20"/>
  <c r="H30" i="20"/>
  <c r="AJ29" i="20"/>
  <c r="H29" i="20"/>
  <c r="AJ28" i="20"/>
  <c r="H28" i="20"/>
  <c r="AY27" i="20"/>
  <c r="AJ27" i="20"/>
  <c r="W27" i="20"/>
  <c r="H27" i="20"/>
  <c r="AJ26" i="20"/>
  <c r="H26" i="20"/>
  <c r="AJ25" i="20"/>
  <c r="H25" i="20"/>
  <c r="AS20" i="20"/>
  <c r="AQ20" i="20"/>
  <c r="AO20" i="20"/>
  <c r="AM20" i="20"/>
  <c r="AU20" i="20" s="1"/>
  <c r="Q20" i="20"/>
  <c r="O20" i="20"/>
  <c r="M20" i="20"/>
  <c r="K20" i="20"/>
  <c r="S20" i="20" s="1"/>
  <c r="AS19" i="20"/>
  <c r="AS21" i="20" s="1"/>
  <c r="AQ19" i="20"/>
  <c r="AQ21" i="20" s="1"/>
  <c r="AO19" i="20"/>
  <c r="AO21" i="20" s="1"/>
  <c r="AM19" i="20"/>
  <c r="AM21" i="20" s="1"/>
  <c r="AG21" i="20" s="1"/>
  <c r="Q19" i="20"/>
  <c r="Q21" i="20" s="1"/>
  <c r="O19" i="20"/>
  <c r="O21" i="20" s="1"/>
  <c r="M19" i="20"/>
  <c r="M21" i="20" s="1"/>
  <c r="K19" i="20"/>
  <c r="S19" i="20" s="1"/>
  <c r="AS17" i="20"/>
  <c r="AQ17" i="20"/>
  <c r="AO17" i="20"/>
  <c r="AM17" i="20"/>
  <c r="AU17" i="20" s="1"/>
  <c r="Q17" i="20"/>
  <c r="O17" i="20"/>
  <c r="M17" i="20"/>
  <c r="K17" i="20"/>
  <c r="S17" i="20" s="1"/>
  <c r="AS16" i="20"/>
  <c r="AS18" i="20" s="1"/>
  <c r="AQ16" i="20"/>
  <c r="AQ18" i="20" s="1"/>
  <c r="AO16" i="20"/>
  <c r="AO18" i="20" s="1"/>
  <c r="AM16" i="20"/>
  <c r="AM18" i="20" s="1"/>
  <c r="AG18" i="20" s="1"/>
  <c r="Q16" i="20"/>
  <c r="Q18" i="20" s="1"/>
  <c r="O16" i="20"/>
  <c r="O18" i="20" s="1"/>
  <c r="M16" i="20"/>
  <c r="M18" i="20" s="1"/>
  <c r="K16" i="20"/>
  <c r="S16" i="20" s="1"/>
  <c r="AC15" i="20"/>
  <c r="AS14" i="20"/>
  <c r="AQ14" i="20"/>
  <c r="AO14" i="20"/>
  <c r="AM14" i="20"/>
  <c r="Q14" i="20"/>
  <c r="O14" i="20"/>
  <c r="M14" i="20"/>
  <c r="K14" i="20"/>
  <c r="AS13" i="20"/>
  <c r="AS15" i="20" s="1"/>
  <c r="AQ13" i="20"/>
  <c r="AQ15" i="20" s="1"/>
  <c r="AO13" i="20"/>
  <c r="AO15" i="20" s="1"/>
  <c r="AM13" i="20"/>
  <c r="AM15" i="20" s="1"/>
  <c r="Q13" i="20"/>
  <c r="Q15" i="20" s="1"/>
  <c r="O13" i="20"/>
  <c r="O15" i="20" s="1"/>
  <c r="M13" i="20"/>
  <c r="M15" i="20" s="1"/>
  <c r="K13" i="20"/>
  <c r="K15" i="20" s="1"/>
  <c r="AS11" i="20"/>
  <c r="AQ11" i="20"/>
  <c r="AO11" i="20"/>
  <c r="AM11" i="20"/>
  <c r="Q11" i="20"/>
  <c r="O11" i="20"/>
  <c r="M11" i="20"/>
  <c r="K11" i="20"/>
  <c r="AS10" i="20"/>
  <c r="AS12" i="20" s="1"/>
  <c r="AQ10" i="20"/>
  <c r="AQ12" i="20" s="1"/>
  <c r="AO10" i="20"/>
  <c r="AO12" i="20" s="1"/>
  <c r="AM10" i="20"/>
  <c r="Q10" i="20"/>
  <c r="Q12" i="20" s="1"/>
  <c r="O10" i="20"/>
  <c r="O12" i="20" s="1"/>
  <c r="M10" i="20"/>
  <c r="M12" i="20" s="1"/>
  <c r="K10" i="20"/>
  <c r="K12" i="20" s="1"/>
  <c r="AS8" i="20"/>
  <c r="AQ8" i="20"/>
  <c r="AO8" i="20"/>
  <c r="AM8" i="20"/>
  <c r="Q8" i="20"/>
  <c r="O8" i="20"/>
  <c r="M8" i="20"/>
  <c r="K8" i="20"/>
  <c r="AS7" i="20"/>
  <c r="AS9" i="20" s="1"/>
  <c r="AQ7" i="20"/>
  <c r="AQ9" i="20" s="1"/>
  <c r="AO7" i="20"/>
  <c r="AO9" i="20" s="1"/>
  <c r="AM7" i="20"/>
  <c r="Q7" i="20"/>
  <c r="Q9" i="20" s="1"/>
  <c r="O7" i="20"/>
  <c r="O9" i="20" s="1"/>
  <c r="M7" i="20"/>
  <c r="M9" i="20" s="1"/>
  <c r="K7" i="20"/>
  <c r="K9" i="20" s="1"/>
  <c r="AS5" i="20"/>
  <c r="AQ5" i="20"/>
  <c r="AO5" i="20"/>
  <c r="AM5" i="20"/>
  <c r="Q5" i="20"/>
  <c r="O5" i="20"/>
  <c r="M5" i="20"/>
  <c r="K5" i="20"/>
  <c r="AS4" i="20"/>
  <c r="AS6" i="20" s="1"/>
  <c r="AQ4" i="20"/>
  <c r="AQ6" i="20" s="1"/>
  <c r="AO4" i="20"/>
  <c r="AO6" i="20" s="1"/>
  <c r="AM4" i="20"/>
  <c r="Q4" i="20"/>
  <c r="Q6" i="20" s="1"/>
  <c r="O4" i="20"/>
  <c r="O6" i="20" s="1"/>
  <c r="M4" i="20"/>
  <c r="M6" i="20" s="1"/>
  <c r="K4" i="20"/>
  <c r="K28" i="22" l="1"/>
  <c r="K26" i="22"/>
  <c r="K27" i="22"/>
  <c r="AM28" i="22"/>
  <c r="K30" i="22"/>
  <c r="AM26" i="22"/>
  <c r="S22" i="21"/>
  <c r="U33" i="21" s="1"/>
  <c r="AK27" i="21"/>
  <c r="AL27" i="21"/>
  <c r="AL25" i="21"/>
  <c r="AX4" i="21"/>
  <c r="AK25" i="21"/>
  <c r="AM25" i="21" s="1"/>
  <c r="J28" i="21"/>
  <c r="I28" i="21"/>
  <c r="J26" i="21"/>
  <c r="I26" i="21"/>
  <c r="K22" i="21"/>
  <c r="J25" i="21"/>
  <c r="V4" i="21"/>
  <c r="I25" i="21"/>
  <c r="K25" i="21" s="1"/>
  <c r="AL26" i="21"/>
  <c r="AK26" i="21"/>
  <c r="J30" i="21"/>
  <c r="I30" i="21"/>
  <c r="J29" i="21"/>
  <c r="V5" i="21"/>
  <c r="I29" i="21"/>
  <c r="K29" i="21" s="1"/>
  <c r="AU22" i="21"/>
  <c r="AL28" i="21"/>
  <c r="AK28" i="21"/>
  <c r="J27" i="21"/>
  <c r="I27" i="21"/>
  <c r="AM22" i="21"/>
  <c r="AM30" i="21"/>
  <c r="AU5" i="20"/>
  <c r="AU7" i="20"/>
  <c r="AU8" i="20"/>
  <c r="AU10" i="20"/>
  <c r="AU11" i="20"/>
  <c r="AU14" i="20"/>
  <c r="S5" i="20"/>
  <c r="S8" i="20"/>
  <c r="S11" i="20"/>
  <c r="S14" i="20"/>
  <c r="AL29" i="20"/>
  <c r="AX5" i="20"/>
  <c r="AK29" i="20"/>
  <c r="AM29" i="20" s="1"/>
  <c r="AL30" i="20"/>
  <c r="AK30" i="20"/>
  <c r="E9" i="20"/>
  <c r="E12" i="20"/>
  <c r="E15" i="20"/>
  <c r="AG15" i="20"/>
  <c r="S4" i="20"/>
  <c r="AU4" i="20"/>
  <c r="AM6" i="20"/>
  <c r="AG6" i="20" s="1"/>
  <c r="S7" i="20"/>
  <c r="AM9" i="20"/>
  <c r="AG9" i="20" s="1"/>
  <c r="S10" i="20"/>
  <c r="AM12" i="20"/>
  <c r="AG12" i="20" s="1"/>
  <c r="S13" i="20"/>
  <c r="AU16" i="20"/>
  <c r="K18" i="20"/>
  <c r="E18" i="20" s="1"/>
  <c r="AU19" i="20"/>
  <c r="K21" i="20"/>
  <c r="E21" i="20" s="1"/>
  <c r="K6" i="20"/>
  <c r="E6" i="20" s="1"/>
  <c r="AU13" i="20"/>
  <c r="AJ30" i="19"/>
  <c r="H30" i="19"/>
  <c r="AJ29" i="19"/>
  <c r="H29" i="19"/>
  <c r="AJ28" i="19"/>
  <c r="H28" i="19"/>
  <c r="AY27" i="19"/>
  <c r="AJ27" i="19"/>
  <c r="W27" i="19"/>
  <c r="H27" i="19"/>
  <c r="AJ26" i="19"/>
  <c r="H26" i="19"/>
  <c r="AJ25" i="19"/>
  <c r="H25" i="19"/>
  <c r="AS21" i="19"/>
  <c r="O21" i="19"/>
  <c r="AS20" i="19"/>
  <c r="AQ20" i="19"/>
  <c r="AO20" i="19"/>
  <c r="AM20" i="19"/>
  <c r="Q20" i="19"/>
  <c r="O20" i="19"/>
  <c r="M20" i="19"/>
  <c r="K20" i="19"/>
  <c r="AS19" i="19"/>
  <c r="AQ19" i="19"/>
  <c r="AQ21" i="19" s="1"/>
  <c r="AO19" i="19"/>
  <c r="AO21" i="19" s="1"/>
  <c r="AM19" i="19"/>
  <c r="AM21" i="19" s="1"/>
  <c r="Q19" i="19"/>
  <c r="Q21" i="19" s="1"/>
  <c r="O19" i="19"/>
  <c r="M19" i="19"/>
  <c r="M21" i="19" s="1"/>
  <c r="K19" i="19"/>
  <c r="S19" i="19" s="1"/>
  <c r="AS18" i="19"/>
  <c r="O18" i="19"/>
  <c r="AS17" i="19"/>
  <c r="AQ17" i="19"/>
  <c r="AO17" i="19"/>
  <c r="AM17" i="19"/>
  <c r="AU17" i="19" s="1"/>
  <c r="Q17" i="19"/>
  <c r="O17" i="19"/>
  <c r="M17" i="19"/>
  <c r="K17" i="19"/>
  <c r="S17" i="19" s="1"/>
  <c r="AS16" i="19"/>
  <c r="AQ16" i="19"/>
  <c r="AQ18" i="19" s="1"/>
  <c r="AO16" i="19"/>
  <c r="AO18" i="19" s="1"/>
  <c r="AM16" i="19"/>
  <c r="AM18" i="19" s="1"/>
  <c r="Q16" i="19"/>
  <c r="Q18" i="19" s="1"/>
  <c r="O16" i="19"/>
  <c r="M16" i="19"/>
  <c r="M18" i="19" s="1"/>
  <c r="K16" i="19"/>
  <c r="K18" i="19" s="1"/>
  <c r="AC15" i="19"/>
  <c r="Q15" i="19"/>
  <c r="AS14" i="19"/>
  <c r="AQ14" i="19"/>
  <c r="AO14" i="19"/>
  <c r="AM14" i="19"/>
  <c r="AU14" i="19" s="1"/>
  <c r="Q14" i="19"/>
  <c r="O14" i="19"/>
  <c r="M14" i="19"/>
  <c r="K14" i="19"/>
  <c r="AS13" i="19"/>
  <c r="AS15" i="19" s="1"/>
  <c r="AQ13" i="19"/>
  <c r="AQ15" i="19" s="1"/>
  <c r="AO13" i="19"/>
  <c r="AO15" i="19" s="1"/>
  <c r="AM13" i="19"/>
  <c r="AM15" i="19" s="1"/>
  <c r="Q13" i="19"/>
  <c r="O13" i="19"/>
  <c r="O15" i="19" s="1"/>
  <c r="M13" i="19"/>
  <c r="M15" i="19" s="1"/>
  <c r="K13" i="19"/>
  <c r="K15" i="19" s="1"/>
  <c r="AQ12" i="19"/>
  <c r="AM12" i="19"/>
  <c r="Q12" i="19"/>
  <c r="AS11" i="19"/>
  <c r="AQ11" i="19"/>
  <c r="AO11" i="19"/>
  <c r="AM11" i="19"/>
  <c r="Q11" i="19"/>
  <c r="O11" i="19"/>
  <c r="M11" i="19"/>
  <c r="K11" i="19"/>
  <c r="AS10" i="19"/>
  <c r="AQ10" i="19"/>
  <c r="AO10" i="19"/>
  <c r="AM10" i="19"/>
  <c r="Q10" i="19"/>
  <c r="O10" i="19"/>
  <c r="M10" i="19"/>
  <c r="M12" i="19" s="1"/>
  <c r="K10" i="19"/>
  <c r="AQ9" i="19"/>
  <c r="Q9" i="19"/>
  <c r="AS8" i="19"/>
  <c r="AQ8" i="19"/>
  <c r="AO8" i="19"/>
  <c r="AM8" i="19"/>
  <c r="Q8" i="19"/>
  <c r="O8" i="19"/>
  <c r="M8" i="19"/>
  <c r="K8" i="19"/>
  <c r="AS7" i="19"/>
  <c r="AS9" i="19" s="1"/>
  <c r="AQ7" i="19"/>
  <c r="AO7" i="19"/>
  <c r="AO9" i="19" s="1"/>
  <c r="AM7" i="19"/>
  <c r="AM9" i="19" s="1"/>
  <c r="Q7" i="19"/>
  <c r="O7" i="19"/>
  <c r="O9" i="19" s="1"/>
  <c r="M7" i="19"/>
  <c r="M9" i="19" s="1"/>
  <c r="K7" i="19"/>
  <c r="K9" i="19" s="1"/>
  <c r="Q6" i="19"/>
  <c r="AS5" i="19"/>
  <c r="AQ5" i="19"/>
  <c r="AO5" i="19"/>
  <c r="AM5" i="19"/>
  <c r="Q5" i="19"/>
  <c r="O5" i="19"/>
  <c r="M5" i="19"/>
  <c r="K5" i="19"/>
  <c r="AS4" i="19"/>
  <c r="AS6" i="19" s="1"/>
  <c r="AQ4" i="19"/>
  <c r="AQ6" i="19" s="1"/>
  <c r="AO4" i="19"/>
  <c r="AO6" i="19" s="1"/>
  <c r="AM4" i="19"/>
  <c r="Q4" i="19"/>
  <c r="O4" i="19"/>
  <c r="O6" i="19" s="1"/>
  <c r="M4" i="19"/>
  <c r="M6" i="19" s="1"/>
  <c r="K4" i="19"/>
  <c r="K27" i="21" l="1"/>
  <c r="AM28" i="21"/>
  <c r="K30" i="21"/>
  <c r="AM26" i="21"/>
  <c r="K26" i="21"/>
  <c r="K28" i="21"/>
  <c r="AM27" i="21"/>
  <c r="S22" i="20"/>
  <c r="U33" i="20" s="1"/>
  <c r="J25" i="20"/>
  <c r="V4" i="20"/>
  <c r="I25" i="20"/>
  <c r="K25" i="20" s="1"/>
  <c r="AK27" i="20"/>
  <c r="AL27" i="20"/>
  <c r="AL26" i="20"/>
  <c r="AK26" i="20"/>
  <c r="AL25" i="20"/>
  <c r="AX4" i="20"/>
  <c r="AK25" i="20"/>
  <c r="AM25" i="20" s="1"/>
  <c r="J28" i="20"/>
  <c r="I28" i="20"/>
  <c r="J26" i="20"/>
  <c r="I26" i="20"/>
  <c r="K22" i="20"/>
  <c r="J30" i="20"/>
  <c r="I30" i="20"/>
  <c r="J29" i="20"/>
  <c r="V5" i="20"/>
  <c r="I29" i="20"/>
  <c r="K29" i="20" s="1"/>
  <c r="AU22" i="20"/>
  <c r="AL28" i="20"/>
  <c r="AK28" i="20"/>
  <c r="J27" i="20"/>
  <c r="I27" i="20"/>
  <c r="AM22" i="20"/>
  <c r="AM30" i="20"/>
  <c r="AU8" i="19"/>
  <c r="AG18" i="19"/>
  <c r="AX5" i="19" s="1"/>
  <c r="AU5" i="19"/>
  <c r="AU10" i="19"/>
  <c r="AG21" i="19"/>
  <c r="AL30" i="19" s="1"/>
  <c r="AU20" i="19"/>
  <c r="K21" i="19"/>
  <c r="S5" i="19"/>
  <c r="E9" i="19"/>
  <c r="I26" i="19" s="1"/>
  <c r="S8" i="19"/>
  <c r="S11" i="19"/>
  <c r="E15" i="19"/>
  <c r="J28" i="19" s="1"/>
  <c r="S14" i="19"/>
  <c r="AL29" i="19"/>
  <c r="J26" i="19"/>
  <c r="I28" i="19"/>
  <c r="AG15" i="19"/>
  <c r="AU4" i="19"/>
  <c r="AM6" i="19"/>
  <c r="AG6" i="19" s="1"/>
  <c r="S7" i="19"/>
  <c r="S13" i="19"/>
  <c r="AK30" i="19"/>
  <c r="AU19" i="19"/>
  <c r="E21" i="19"/>
  <c r="K6" i="19"/>
  <c r="E6" i="19" s="1"/>
  <c r="S4" i="19"/>
  <c r="AU7" i="19"/>
  <c r="AG9" i="19"/>
  <c r="K12" i="19"/>
  <c r="E12" i="19" s="1"/>
  <c r="O12" i="19"/>
  <c r="S10" i="19"/>
  <c r="AO12" i="19"/>
  <c r="AG12" i="19" s="1"/>
  <c r="AS12" i="19"/>
  <c r="AU11" i="19"/>
  <c r="S16" i="19"/>
  <c r="AU16" i="19"/>
  <c r="E18" i="19"/>
  <c r="S20" i="19"/>
  <c r="AU13" i="19"/>
  <c r="AJ30" i="18"/>
  <c r="H30" i="18"/>
  <c r="AJ29" i="18"/>
  <c r="H29" i="18"/>
  <c r="AJ28" i="18"/>
  <c r="H28" i="18"/>
  <c r="AY27" i="18"/>
  <c r="AJ27" i="18"/>
  <c r="W27" i="18"/>
  <c r="H27" i="18"/>
  <c r="AJ26" i="18"/>
  <c r="H26" i="18"/>
  <c r="AJ25" i="18"/>
  <c r="H25" i="18"/>
  <c r="AS21" i="18"/>
  <c r="AS20" i="18"/>
  <c r="AQ20" i="18"/>
  <c r="AO20" i="18"/>
  <c r="AM20" i="18"/>
  <c r="Q20" i="18"/>
  <c r="O20" i="18"/>
  <c r="M20" i="18"/>
  <c r="K20" i="18"/>
  <c r="S20" i="18" s="1"/>
  <c r="AS19" i="18"/>
  <c r="AQ19" i="18"/>
  <c r="AQ21" i="18" s="1"/>
  <c r="AO19" i="18"/>
  <c r="AM19" i="18"/>
  <c r="Q19" i="18"/>
  <c r="Q21" i="18" s="1"/>
  <c r="O19" i="18"/>
  <c r="O21" i="18" s="1"/>
  <c r="M19" i="18"/>
  <c r="M21" i="18" s="1"/>
  <c r="K19" i="18"/>
  <c r="S19" i="18" s="1"/>
  <c r="O18" i="18"/>
  <c r="AS17" i="18"/>
  <c r="AQ17" i="18"/>
  <c r="AO17" i="18"/>
  <c r="AM17" i="18"/>
  <c r="AU17" i="18" s="1"/>
  <c r="Q17" i="18"/>
  <c r="O17" i="18"/>
  <c r="M17" i="18"/>
  <c r="K17" i="18"/>
  <c r="AS16" i="18"/>
  <c r="AS18" i="18" s="1"/>
  <c r="AQ16" i="18"/>
  <c r="AQ18" i="18" s="1"/>
  <c r="AO16" i="18"/>
  <c r="AM16" i="18"/>
  <c r="AM18" i="18" s="1"/>
  <c r="Q16" i="18"/>
  <c r="Q18" i="18" s="1"/>
  <c r="O16" i="18"/>
  <c r="M16" i="18"/>
  <c r="K16" i="18"/>
  <c r="K18" i="18" s="1"/>
  <c r="AC15" i="18"/>
  <c r="M15" i="18"/>
  <c r="AS14" i="18"/>
  <c r="AS15" i="18" s="1"/>
  <c r="AQ14" i="18"/>
  <c r="AO14" i="18"/>
  <c r="AM14" i="18"/>
  <c r="AU14" i="18" s="1"/>
  <c r="Q14" i="18"/>
  <c r="O14" i="18"/>
  <c r="M14" i="18"/>
  <c r="K14" i="18"/>
  <c r="S14" i="18" s="1"/>
  <c r="AS13" i="18"/>
  <c r="AQ13" i="18"/>
  <c r="AQ15" i="18" s="1"/>
  <c r="AO13" i="18"/>
  <c r="AM13" i="18"/>
  <c r="AU13" i="18" s="1"/>
  <c r="Q13" i="18"/>
  <c r="Q15" i="18" s="1"/>
  <c r="O13" i="18"/>
  <c r="O15" i="18" s="1"/>
  <c r="M13" i="18"/>
  <c r="K13" i="18"/>
  <c r="K15" i="18" s="1"/>
  <c r="AQ12" i="18"/>
  <c r="Q12" i="18"/>
  <c r="AS11" i="18"/>
  <c r="AQ11" i="18"/>
  <c r="AO11" i="18"/>
  <c r="AM11" i="18"/>
  <c r="Q11" i="18"/>
  <c r="O11" i="18"/>
  <c r="M11" i="18"/>
  <c r="K11" i="18"/>
  <c r="AS10" i="18"/>
  <c r="AS12" i="18" s="1"/>
  <c r="AQ10" i="18"/>
  <c r="AO10" i="18"/>
  <c r="AO12" i="18" s="1"/>
  <c r="AM10" i="18"/>
  <c r="AM12" i="18" s="1"/>
  <c r="AG12" i="18" s="1"/>
  <c r="Q10" i="18"/>
  <c r="O10" i="18"/>
  <c r="O12" i="18" s="1"/>
  <c r="M10" i="18"/>
  <c r="K10" i="18"/>
  <c r="K12" i="18" s="1"/>
  <c r="AS8" i="18"/>
  <c r="AQ8" i="18"/>
  <c r="AO8" i="18"/>
  <c r="AM8" i="18"/>
  <c r="Q8" i="18"/>
  <c r="O8" i="18"/>
  <c r="M8" i="18"/>
  <c r="K8" i="18"/>
  <c r="AS7" i="18"/>
  <c r="AS9" i="18" s="1"/>
  <c r="AQ7" i="18"/>
  <c r="AQ9" i="18" s="1"/>
  <c r="AO7" i="18"/>
  <c r="AO9" i="18" s="1"/>
  <c r="AM7" i="18"/>
  <c r="Q7" i="18"/>
  <c r="Q9" i="18" s="1"/>
  <c r="O7" i="18"/>
  <c r="O9" i="18" s="1"/>
  <c r="M7" i="18"/>
  <c r="K7" i="18"/>
  <c r="K9" i="18" s="1"/>
  <c r="Q6" i="18"/>
  <c r="AS5" i="18"/>
  <c r="AQ5" i="18"/>
  <c r="AO5" i="18"/>
  <c r="AM5" i="18"/>
  <c r="Q5" i="18"/>
  <c r="O5" i="18"/>
  <c r="M5" i="18"/>
  <c r="K5" i="18"/>
  <c r="AS4" i="18"/>
  <c r="AS6" i="18" s="1"/>
  <c r="AQ4" i="18"/>
  <c r="AQ6" i="18" s="1"/>
  <c r="AO4" i="18"/>
  <c r="AO6" i="18" s="1"/>
  <c r="AM4" i="18"/>
  <c r="Q4" i="18"/>
  <c r="O4" i="18"/>
  <c r="O6" i="18" s="1"/>
  <c r="M4" i="18"/>
  <c r="K4" i="18"/>
  <c r="S4" i="18" s="1"/>
  <c r="AM27" i="20" l="1"/>
  <c r="K28" i="20"/>
  <c r="K26" i="20"/>
  <c r="K27" i="20"/>
  <c r="AM28" i="20"/>
  <c r="K30" i="20"/>
  <c r="AM26" i="20"/>
  <c r="AK29" i="19"/>
  <c r="AM29" i="19" s="1"/>
  <c r="AM30" i="19"/>
  <c r="AK27" i="19"/>
  <c r="AL27" i="19"/>
  <c r="J27" i="19"/>
  <c r="I27" i="19"/>
  <c r="J25" i="19"/>
  <c r="V4" i="19"/>
  <c r="I25" i="19"/>
  <c r="K25" i="19" s="1"/>
  <c r="J30" i="19"/>
  <c r="I30" i="19"/>
  <c r="AU22" i="19"/>
  <c r="AL28" i="19"/>
  <c r="AK28" i="19"/>
  <c r="J29" i="19"/>
  <c r="V5" i="19"/>
  <c r="I29" i="19"/>
  <c r="K29" i="19" s="1"/>
  <c r="AL26" i="19"/>
  <c r="AK26" i="19"/>
  <c r="S22" i="19"/>
  <c r="U33" i="19" s="1"/>
  <c r="K22" i="19"/>
  <c r="AL25" i="19"/>
  <c r="AX4" i="19"/>
  <c r="AK25" i="19"/>
  <c r="AM25" i="19" s="1"/>
  <c r="AM22" i="19"/>
  <c r="K28" i="19"/>
  <c r="K26" i="19"/>
  <c r="AU20" i="18"/>
  <c r="AU5" i="18"/>
  <c r="AM21" i="18"/>
  <c r="AO21" i="18"/>
  <c r="AG21" i="18" s="1"/>
  <c r="AO18" i="18"/>
  <c r="AG18" i="18" s="1"/>
  <c r="AO15" i="18"/>
  <c r="AU11" i="18"/>
  <c r="AU8" i="18"/>
  <c r="AU7" i="18"/>
  <c r="M12" i="18"/>
  <c r="S5" i="18"/>
  <c r="M9" i="18"/>
  <c r="S11" i="18"/>
  <c r="M18" i="18"/>
  <c r="E18" i="18" s="1"/>
  <c r="S17" i="18"/>
  <c r="E12" i="18"/>
  <c r="J27" i="18" s="1"/>
  <c r="S8" i="18"/>
  <c r="M6" i="18"/>
  <c r="AM9" i="18"/>
  <c r="AG9" i="18" s="1"/>
  <c r="K21" i="18"/>
  <c r="E21" i="18" s="1"/>
  <c r="AK27" i="18"/>
  <c r="AL27" i="18"/>
  <c r="E9" i="18"/>
  <c r="E15" i="18"/>
  <c r="S10" i="18"/>
  <c r="AU19" i="18"/>
  <c r="K6" i="18"/>
  <c r="AU10" i="18"/>
  <c r="AM15" i="18"/>
  <c r="AG15" i="18" s="1"/>
  <c r="S16" i="18"/>
  <c r="K22" i="18"/>
  <c r="AU4" i="18"/>
  <c r="AM6" i="18"/>
  <c r="AG6" i="18" s="1"/>
  <c r="S7" i="18"/>
  <c r="S13" i="18"/>
  <c r="AU16" i="18"/>
  <c r="AJ30" i="17"/>
  <c r="H30" i="17"/>
  <c r="AJ29" i="17"/>
  <c r="H29" i="17"/>
  <c r="AJ28" i="17"/>
  <c r="H28" i="17"/>
  <c r="AY27" i="17"/>
  <c r="AJ27" i="17"/>
  <c r="W27" i="17"/>
  <c r="H27" i="17"/>
  <c r="AJ26" i="17"/>
  <c r="H26" i="17"/>
  <c r="AJ25" i="17"/>
  <c r="H25" i="17"/>
  <c r="AS21" i="17"/>
  <c r="O21" i="17"/>
  <c r="AS20" i="17"/>
  <c r="AQ20" i="17"/>
  <c r="AO20" i="17"/>
  <c r="AM20" i="17"/>
  <c r="Q20" i="17"/>
  <c r="O20" i="17"/>
  <c r="M20" i="17"/>
  <c r="K20" i="17"/>
  <c r="AS19" i="17"/>
  <c r="AQ19" i="17"/>
  <c r="AQ21" i="17" s="1"/>
  <c r="AO19" i="17"/>
  <c r="AO21" i="17" s="1"/>
  <c r="AM19" i="17"/>
  <c r="AM21" i="17" s="1"/>
  <c r="Q19" i="17"/>
  <c r="O19" i="17"/>
  <c r="M19" i="17"/>
  <c r="K19" i="17"/>
  <c r="S19" i="17" s="1"/>
  <c r="AS18" i="17"/>
  <c r="O18" i="17"/>
  <c r="AS17" i="17"/>
  <c r="AQ17" i="17"/>
  <c r="AO17" i="17"/>
  <c r="AM17" i="17"/>
  <c r="Q17" i="17"/>
  <c r="O17" i="17"/>
  <c r="M17" i="17"/>
  <c r="K17" i="17"/>
  <c r="S17" i="17" s="1"/>
  <c r="AS16" i="17"/>
  <c r="AQ16" i="17"/>
  <c r="AO16" i="17"/>
  <c r="AO18" i="17" s="1"/>
  <c r="AM16" i="17"/>
  <c r="Q16" i="17"/>
  <c r="Q18" i="17" s="1"/>
  <c r="O16" i="17"/>
  <c r="M16" i="17"/>
  <c r="M18" i="17" s="1"/>
  <c r="K16" i="17"/>
  <c r="K18" i="17" s="1"/>
  <c r="AC15" i="17"/>
  <c r="Q15" i="17"/>
  <c r="AS14" i="17"/>
  <c r="AQ14" i="17"/>
  <c r="AO14" i="17"/>
  <c r="AM14" i="17"/>
  <c r="AU14" i="17" s="1"/>
  <c r="Q14" i="17"/>
  <c r="O14" i="17"/>
  <c r="M14" i="17"/>
  <c r="K14" i="17"/>
  <c r="AS13" i="17"/>
  <c r="AS15" i="17" s="1"/>
  <c r="AQ13" i="17"/>
  <c r="AQ15" i="17" s="1"/>
  <c r="AO13" i="17"/>
  <c r="AO15" i="17" s="1"/>
  <c r="AM13" i="17"/>
  <c r="Q13" i="17"/>
  <c r="O13" i="17"/>
  <c r="O15" i="17" s="1"/>
  <c r="M13" i="17"/>
  <c r="M15" i="17" s="1"/>
  <c r="K13" i="17"/>
  <c r="K15" i="17" s="1"/>
  <c r="AQ12" i="17"/>
  <c r="AM12" i="17"/>
  <c r="Q12" i="17"/>
  <c r="AS11" i="17"/>
  <c r="AQ11" i="17"/>
  <c r="AO11" i="17"/>
  <c r="AM11" i="17"/>
  <c r="Q11" i="17"/>
  <c r="O11" i="17"/>
  <c r="M11" i="17"/>
  <c r="K11" i="17"/>
  <c r="AS10" i="17"/>
  <c r="AQ10" i="17"/>
  <c r="AO10" i="17"/>
  <c r="AM10" i="17"/>
  <c r="Q10" i="17"/>
  <c r="O10" i="17"/>
  <c r="M10" i="17"/>
  <c r="M12" i="17" s="1"/>
  <c r="K10" i="17"/>
  <c r="AQ9" i="17"/>
  <c r="Q9" i="17"/>
  <c r="AS8" i="17"/>
  <c r="AQ8" i="17"/>
  <c r="AO8" i="17"/>
  <c r="AM8" i="17"/>
  <c r="Q8" i="17"/>
  <c r="O8" i="17"/>
  <c r="M8" i="17"/>
  <c r="K8" i="17"/>
  <c r="AS7" i="17"/>
  <c r="AS9" i="17" s="1"/>
  <c r="AQ7" i="17"/>
  <c r="AO7" i="17"/>
  <c r="AO9" i="17" s="1"/>
  <c r="AM7" i="17"/>
  <c r="AM9" i="17" s="1"/>
  <c r="Q7" i="17"/>
  <c r="O7" i="17"/>
  <c r="O9" i="17" s="1"/>
  <c r="M7" i="17"/>
  <c r="M9" i="17" s="1"/>
  <c r="K7" i="17"/>
  <c r="K9" i="17" s="1"/>
  <c r="Q6" i="17"/>
  <c r="AS5" i="17"/>
  <c r="AQ5" i="17"/>
  <c r="AO5" i="17"/>
  <c r="AM5" i="17"/>
  <c r="Q5" i="17"/>
  <c r="O5" i="17"/>
  <c r="M5" i="17"/>
  <c r="K5" i="17"/>
  <c r="AS4" i="17"/>
  <c r="AS6" i="17" s="1"/>
  <c r="AQ4" i="17"/>
  <c r="AQ6" i="17" s="1"/>
  <c r="AO4" i="17"/>
  <c r="AO6" i="17" s="1"/>
  <c r="AM4" i="17"/>
  <c r="Q4" i="17"/>
  <c r="O4" i="17"/>
  <c r="O6" i="17" s="1"/>
  <c r="M4" i="17"/>
  <c r="M6" i="17" s="1"/>
  <c r="K4" i="17"/>
  <c r="AM28" i="19" l="1"/>
  <c r="K27" i="19"/>
  <c r="AM26" i="19"/>
  <c r="K30" i="19"/>
  <c r="AM27" i="19"/>
  <c r="AL29" i="18"/>
  <c r="AK29" i="18"/>
  <c r="AX5" i="18"/>
  <c r="I27" i="18"/>
  <c r="J29" i="18"/>
  <c r="I29" i="18"/>
  <c r="K29" i="18" s="1"/>
  <c r="E6" i="18"/>
  <c r="J25" i="18" s="1"/>
  <c r="V5" i="18"/>
  <c r="S22" i="18"/>
  <c r="U33" i="18" s="1"/>
  <c r="AL26" i="18"/>
  <c r="AK26" i="18"/>
  <c r="J26" i="18"/>
  <c r="I26" i="18"/>
  <c r="AM29" i="18"/>
  <c r="AL25" i="18"/>
  <c r="AX4" i="18"/>
  <c r="AK25" i="18"/>
  <c r="AK28" i="18"/>
  <c r="AL28" i="18"/>
  <c r="I30" i="18"/>
  <c r="J30" i="18"/>
  <c r="AM22" i="18"/>
  <c r="J28" i="18"/>
  <c r="I28" i="18"/>
  <c r="AU22" i="18"/>
  <c r="K27" i="18"/>
  <c r="AL30" i="18"/>
  <c r="AK30" i="18"/>
  <c r="AM27" i="18"/>
  <c r="AM15" i="17"/>
  <c r="AU17" i="17"/>
  <c r="AU8" i="17"/>
  <c r="AU5" i="17"/>
  <c r="AU10" i="17"/>
  <c r="AG15" i="17"/>
  <c r="AK28" i="17" s="1"/>
  <c r="AG21" i="17"/>
  <c r="AK30" i="17" s="1"/>
  <c r="AU20" i="17"/>
  <c r="K21" i="17"/>
  <c r="S5" i="17"/>
  <c r="E9" i="17"/>
  <c r="J26" i="17" s="1"/>
  <c r="S8" i="17"/>
  <c r="S11" i="17"/>
  <c r="E15" i="17"/>
  <c r="I28" i="17" s="1"/>
  <c r="S14" i="17"/>
  <c r="AL28" i="17"/>
  <c r="J28" i="17"/>
  <c r="AU4" i="17"/>
  <c r="AM6" i="17"/>
  <c r="AG6" i="17" s="1"/>
  <c r="S7" i="17"/>
  <c r="S13" i="17"/>
  <c r="AU19" i="17"/>
  <c r="K6" i="17"/>
  <c r="E6" i="17" s="1"/>
  <c r="S4" i="17"/>
  <c r="AU7" i="17"/>
  <c r="AG9" i="17"/>
  <c r="K12" i="17"/>
  <c r="E12" i="17" s="1"/>
  <c r="O12" i="17"/>
  <c r="S10" i="17"/>
  <c r="AO12" i="17"/>
  <c r="AG12" i="17" s="1"/>
  <c r="AS12" i="17"/>
  <c r="AU11" i="17"/>
  <c r="S16" i="17"/>
  <c r="AM18" i="17"/>
  <c r="AQ18" i="17"/>
  <c r="AU16" i="17"/>
  <c r="E18" i="17"/>
  <c r="M21" i="17"/>
  <c r="Q21" i="17"/>
  <c r="S20" i="17"/>
  <c r="AU13" i="17"/>
  <c r="AJ30" i="16"/>
  <c r="H30" i="16"/>
  <c r="AJ29" i="16"/>
  <c r="H29" i="16"/>
  <c r="AJ28" i="16"/>
  <c r="H28" i="16"/>
  <c r="AY27" i="16"/>
  <c r="AJ27" i="16"/>
  <c r="W27" i="16"/>
  <c r="H27" i="16"/>
  <c r="AJ26" i="16"/>
  <c r="H26" i="16"/>
  <c r="AJ25" i="16"/>
  <c r="H25" i="16"/>
  <c r="AS21" i="16"/>
  <c r="O21" i="16"/>
  <c r="AS20" i="16"/>
  <c r="AQ20" i="16"/>
  <c r="AO20" i="16"/>
  <c r="AM20" i="16"/>
  <c r="Q20" i="16"/>
  <c r="O20" i="16"/>
  <c r="M20" i="16"/>
  <c r="K20" i="16"/>
  <c r="AS19" i="16"/>
  <c r="AQ19" i="16"/>
  <c r="AQ21" i="16" s="1"/>
  <c r="AO19" i="16"/>
  <c r="AO21" i="16" s="1"/>
  <c r="AM19" i="16"/>
  <c r="AM21" i="16" s="1"/>
  <c r="Q19" i="16"/>
  <c r="O19" i="16"/>
  <c r="M19" i="16"/>
  <c r="K19" i="16"/>
  <c r="S19" i="16" s="1"/>
  <c r="AS18" i="16"/>
  <c r="O18" i="16"/>
  <c r="AS17" i="16"/>
  <c r="AQ17" i="16"/>
  <c r="AO17" i="16"/>
  <c r="AM17" i="16"/>
  <c r="Q17" i="16"/>
  <c r="O17" i="16"/>
  <c r="M17" i="16"/>
  <c r="K17" i="16"/>
  <c r="S17" i="16" s="1"/>
  <c r="AS16" i="16"/>
  <c r="AQ16" i="16"/>
  <c r="AO16" i="16"/>
  <c r="AO18" i="16" s="1"/>
  <c r="AM16" i="16"/>
  <c r="Q16" i="16"/>
  <c r="Q18" i="16" s="1"/>
  <c r="O16" i="16"/>
  <c r="M16" i="16"/>
  <c r="M18" i="16" s="1"/>
  <c r="K16" i="16"/>
  <c r="K18" i="16" s="1"/>
  <c r="AC15" i="16"/>
  <c r="Q15" i="16"/>
  <c r="AS14" i="16"/>
  <c r="AQ14" i="16"/>
  <c r="AO14" i="16"/>
  <c r="AM14" i="16"/>
  <c r="Q14" i="16"/>
  <c r="O14" i="16"/>
  <c r="M14" i="16"/>
  <c r="K14" i="16"/>
  <c r="AS13" i="16"/>
  <c r="AS15" i="16" s="1"/>
  <c r="AQ13" i="16"/>
  <c r="AQ15" i="16" s="1"/>
  <c r="AO13" i="16"/>
  <c r="AM13" i="16"/>
  <c r="AM15" i="16" s="1"/>
  <c r="Q13" i="16"/>
  <c r="O13" i="16"/>
  <c r="O15" i="16" s="1"/>
  <c r="M13" i="16"/>
  <c r="K13" i="16"/>
  <c r="K15" i="16" s="1"/>
  <c r="AQ12" i="16"/>
  <c r="AM12" i="16"/>
  <c r="Q12" i="16"/>
  <c r="AS11" i="16"/>
  <c r="AQ11" i="16"/>
  <c r="AO11" i="16"/>
  <c r="AM11" i="16"/>
  <c r="Q11" i="16"/>
  <c r="O11" i="16"/>
  <c r="M11" i="16"/>
  <c r="K11" i="16"/>
  <c r="AS10" i="16"/>
  <c r="AQ10" i="16"/>
  <c r="AO10" i="16"/>
  <c r="AM10" i="16"/>
  <c r="Q10" i="16"/>
  <c r="O10" i="16"/>
  <c r="M10" i="16"/>
  <c r="M12" i="16" s="1"/>
  <c r="K10" i="16"/>
  <c r="AQ9" i="16"/>
  <c r="Q9" i="16"/>
  <c r="AS8" i="16"/>
  <c r="AQ8" i="16"/>
  <c r="AO8" i="16"/>
  <c r="AM8" i="16"/>
  <c r="Q8" i="16"/>
  <c r="O8" i="16"/>
  <c r="M8" i="16"/>
  <c r="K8" i="16"/>
  <c r="AS7" i="16"/>
  <c r="AS9" i="16" s="1"/>
  <c r="AQ7" i="16"/>
  <c r="AO7" i="16"/>
  <c r="AO9" i="16" s="1"/>
  <c r="AM7" i="16"/>
  <c r="AM9" i="16" s="1"/>
  <c r="Q7" i="16"/>
  <c r="O7" i="16"/>
  <c r="O9" i="16" s="1"/>
  <c r="M7" i="16"/>
  <c r="M9" i="16" s="1"/>
  <c r="K7" i="16"/>
  <c r="K9" i="16" s="1"/>
  <c r="Q6" i="16"/>
  <c r="AS5" i="16"/>
  <c r="AQ5" i="16"/>
  <c r="AO5" i="16"/>
  <c r="AM5" i="16"/>
  <c r="Q5" i="16"/>
  <c r="O5" i="16"/>
  <c r="M5" i="16"/>
  <c r="K5" i="16"/>
  <c r="AS4" i="16"/>
  <c r="AS6" i="16" s="1"/>
  <c r="AQ4" i="16"/>
  <c r="AQ6" i="16" s="1"/>
  <c r="AO4" i="16"/>
  <c r="AO6" i="16" s="1"/>
  <c r="AM4" i="16"/>
  <c r="Q4" i="16"/>
  <c r="O4" i="16"/>
  <c r="O6" i="16" s="1"/>
  <c r="M4" i="16"/>
  <c r="M6" i="16" s="1"/>
  <c r="K4" i="16"/>
  <c r="AM30" i="18" l="1"/>
  <c r="AM25" i="18"/>
  <c r="K28" i="18"/>
  <c r="K26" i="18"/>
  <c r="V4" i="18"/>
  <c r="I25" i="18"/>
  <c r="K25" i="18" s="1"/>
  <c r="AM28" i="18"/>
  <c r="K30" i="18"/>
  <c r="AM26" i="18"/>
  <c r="AO15" i="16"/>
  <c r="AU14" i="16"/>
  <c r="AM28" i="17"/>
  <c r="AM30" i="17"/>
  <c r="AL30" i="17"/>
  <c r="K28" i="17"/>
  <c r="I26" i="17"/>
  <c r="E21" i="17"/>
  <c r="I30" i="17" s="1"/>
  <c r="K26" i="17"/>
  <c r="J30" i="17"/>
  <c r="AK27" i="17"/>
  <c r="AL27" i="17"/>
  <c r="J29" i="17"/>
  <c r="I29" i="17"/>
  <c r="J27" i="17"/>
  <c r="I27" i="17"/>
  <c r="J25" i="17"/>
  <c r="V4" i="17"/>
  <c r="I25" i="17"/>
  <c r="K25" i="17" s="1"/>
  <c r="AU22" i="17"/>
  <c r="AG18" i="17"/>
  <c r="AL26" i="17"/>
  <c r="AK26" i="17"/>
  <c r="S22" i="17"/>
  <c r="U33" i="17" s="1"/>
  <c r="K22" i="17"/>
  <c r="AL25" i="17"/>
  <c r="AX4" i="17"/>
  <c r="AK25" i="17"/>
  <c r="AM25" i="17" s="1"/>
  <c r="AM22" i="17"/>
  <c r="AU17" i="16"/>
  <c r="AU8" i="16"/>
  <c r="M15" i="16"/>
  <c r="AU5" i="16"/>
  <c r="AU10" i="16"/>
  <c r="AG15" i="16"/>
  <c r="AK28" i="16" s="1"/>
  <c r="AG21" i="16"/>
  <c r="AK30" i="16" s="1"/>
  <c r="AU20" i="16"/>
  <c r="K21" i="16"/>
  <c r="S5" i="16"/>
  <c r="E9" i="16"/>
  <c r="J26" i="16" s="1"/>
  <c r="S8" i="16"/>
  <c r="S11" i="16"/>
  <c r="E15" i="16"/>
  <c r="I28" i="16" s="1"/>
  <c r="S14" i="16"/>
  <c r="I26" i="16"/>
  <c r="AU4" i="16"/>
  <c r="AM6" i="16"/>
  <c r="AG6" i="16" s="1"/>
  <c r="S7" i="16"/>
  <c r="S13" i="16"/>
  <c r="AU19" i="16"/>
  <c r="K6" i="16"/>
  <c r="E6" i="16" s="1"/>
  <c r="S4" i="16"/>
  <c r="AU7" i="16"/>
  <c r="AG9" i="16"/>
  <c r="K12" i="16"/>
  <c r="E12" i="16" s="1"/>
  <c r="O12" i="16"/>
  <c r="S10" i="16"/>
  <c r="AO12" i="16"/>
  <c r="AG12" i="16" s="1"/>
  <c r="AS12" i="16"/>
  <c r="AU11" i="16"/>
  <c r="S16" i="16"/>
  <c r="AM18" i="16"/>
  <c r="AQ18" i="16"/>
  <c r="AU16" i="16"/>
  <c r="E18" i="16"/>
  <c r="M21" i="16"/>
  <c r="Q21" i="16"/>
  <c r="S20" i="16"/>
  <c r="AU13" i="16"/>
  <c r="AJ30" i="15"/>
  <c r="H30" i="15"/>
  <c r="AJ29" i="15"/>
  <c r="H29" i="15"/>
  <c r="AJ28" i="15"/>
  <c r="H28" i="15"/>
  <c r="AY27" i="15"/>
  <c r="AJ27" i="15"/>
  <c r="W27" i="15"/>
  <c r="H27" i="15"/>
  <c r="AJ26" i="15"/>
  <c r="H26" i="15"/>
  <c r="AJ25" i="15"/>
  <c r="H25" i="15"/>
  <c r="AS20" i="15"/>
  <c r="AQ20" i="15"/>
  <c r="AO20" i="15"/>
  <c r="AM20" i="15"/>
  <c r="AU20" i="15" s="1"/>
  <c r="Q20" i="15"/>
  <c r="O20" i="15"/>
  <c r="M20" i="15"/>
  <c r="K20" i="15"/>
  <c r="S20" i="15" s="1"/>
  <c r="AS19" i="15"/>
  <c r="AS21" i="15" s="1"/>
  <c r="AQ19" i="15"/>
  <c r="AQ21" i="15" s="1"/>
  <c r="AO19" i="15"/>
  <c r="AO21" i="15" s="1"/>
  <c r="AM19" i="15"/>
  <c r="AM21" i="15" s="1"/>
  <c r="AG21" i="15" s="1"/>
  <c r="Q19" i="15"/>
  <c r="Q21" i="15" s="1"/>
  <c r="O19" i="15"/>
  <c r="O21" i="15" s="1"/>
  <c r="M19" i="15"/>
  <c r="M21" i="15" s="1"/>
  <c r="K19" i="15"/>
  <c r="S19" i="15" s="1"/>
  <c r="AS17" i="15"/>
  <c r="AQ17" i="15"/>
  <c r="AO17" i="15"/>
  <c r="AM17" i="15"/>
  <c r="AU17" i="15" s="1"/>
  <c r="Q17" i="15"/>
  <c r="O17" i="15"/>
  <c r="M17" i="15"/>
  <c r="K17" i="15"/>
  <c r="S17" i="15" s="1"/>
  <c r="AS16" i="15"/>
  <c r="AS18" i="15" s="1"/>
  <c r="AQ16" i="15"/>
  <c r="AQ18" i="15" s="1"/>
  <c r="AO16" i="15"/>
  <c r="AO18" i="15" s="1"/>
  <c r="AM16" i="15"/>
  <c r="AM18" i="15" s="1"/>
  <c r="AG18" i="15" s="1"/>
  <c r="Q16" i="15"/>
  <c r="Q18" i="15" s="1"/>
  <c r="O16" i="15"/>
  <c r="O18" i="15" s="1"/>
  <c r="M16" i="15"/>
  <c r="M18" i="15" s="1"/>
  <c r="K16" i="15"/>
  <c r="S16" i="15" s="1"/>
  <c r="AC15" i="15"/>
  <c r="AS14" i="15"/>
  <c r="AQ14" i="15"/>
  <c r="AO14" i="15"/>
  <c r="AM14" i="15"/>
  <c r="Q14" i="15"/>
  <c r="O14" i="15"/>
  <c r="M14" i="15"/>
  <c r="K14" i="15"/>
  <c r="AS13" i="15"/>
  <c r="AS15" i="15" s="1"/>
  <c r="AQ13" i="15"/>
  <c r="AQ15" i="15" s="1"/>
  <c r="AO13" i="15"/>
  <c r="AO15" i="15" s="1"/>
  <c r="AM13" i="15"/>
  <c r="AM15" i="15" s="1"/>
  <c r="Q13" i="15"/>
  <c r="Q15" i="15" s="1"/>
  <c r="O13" i="15"/>
  <c r="O15" i="15" s="1"/>
  <c r="M13" i="15"/>
  <c r="M15" i="15" s="1"/>
  <c r="K13" i="15"/>
  <c r="K15" i="15" s="1"/>
  <c r="AS11" i="15"/>
  <c r="AQ11" i="15"/>
  <c r="AO11" i="15"/>
  <c r="AM11" i="15"/>
  <c r="Q11" i="15"/>
  <c r="O11" i="15"/>
  <c r="M11" i="15"/>
  <c r="K11" i="15"/>
  <c r="AS10" i="15"/>
  <c r="AS12" i="15" s="1"/>
  <c r="AQ10" i="15"/>
  <c r="AQ12" i="15" s="1"/>
  <c r="AO10" i="15"/>
  <c r="AO12" i="15" s="1"/>
  <c r="AM10" i="15"/>
  <c r="Q10" i="15"/>
  <c r="Q12" i="15" s="1"/>
  <c r="O10" i="15"/>
  <c r="O12" i="15" s="1"/>
  <c r="M10" i="15"/>
  <c r="K10" i="15"/>
  <c r="K12" i="15" s="1"/>
  <c r="AS8" i="15"/>
  <c r="AQ8" i="15"/>
  <c r="AO8" i="15"/>
  <c r="AM8" i="15"/>
  <c r="Q8" i="15"/>
  <c r="O8" i="15"/>
  <c r="M8" i="15"/>
  <c r="K8" i="15"/>
  <c r="AS7" i="15"/>
  <c r="AS9" i="15" s="1"/>
  <c r="AQ7" i="15"/>
  <c r="AQ9" i="15" s="1"/>
  <c r="AO7" i="15"/>
  <c r="AO9" i="15" s="1"/>
  <c r="AM7" i="15"/>
  <c r="Q7" i="15"/>
  <c r="Q9" i="15" s="1"/>
  <c r="O7" i="15"/>
  <c r="O9" i="15" s="1"/>
  <c r="M7" i="15"/>
  <c r="M9" i="15" s="1"/>
  <c r="K7" i="15"/>
  <c r="K9" i="15" s="1"/>
  <c r="AS5" i="15"/>
  <c r="AQ5" i="15"/>
  <c r="AO5" i="15"/>
  <c r="AM5" i="15"/>
  <c r="Q5" i="15"/>
  <c r="O5" i="15"/>
  <c r="M5" i="15"/>
  <c r="K5" i="15"/>
  <c r="AS4" i="15"/>
  <c r="AS6" i="15" s="1"/>
  <c r="AQ4" i="15"/>
  <c r="AQ6" i="15" s="1"/>
  <c r="AO4" i="15"/>
  <c r="AO6" i="15" s="1"/>
  <c r="AM4" i="15"/>
  <c r="Q4" i="15"/>
  <c r="Q6" i="15" s="1"/>
  <c r="O4" i="15"/>
  <c r="O6" i="15" s="1"/>
  <c r="M4" i="15"/>
  <c r="M6" i="15" s="1"/>
  <c r="K4" i="15"/>
  <c r="AL28" i="16" l="1"/>
  <c r="AM26" i="17"/>
  <c r="K29" i="17"/>
  <c r="K30" i="17"/>
  <c r="V5" i="17"/>
  <c r="AL29" i="17"/>
  <c r="AX5" i="17"/>
  <c r="AK29" i="17"/>
  <c r="AM29" i="17" s="1"/>
  <c r="K27" i="17"/>
  <c r="AM27" i="17"/>
  <c r="AL30" i="16"/>
  <c r="AM30" i="16" s="1"/>
  <c r="AM28" i="16"/>
  <c r="J28" i="16"/>
  <c r="K28" i="16" s="1"/>
  <c r="E21" i="16"/>
  <c r="I30" i="16" s="1"/>
  <c r="K26" i="16"/>
  <c r="J30" i="16"/>
  <c r="AK27" i="16"/>
  <c r="AL27" i="16"/>
  <c r="J29" i="16"/>
  <c r="I29" i="16"/>
  <c r="K29" i="16" s="1"/>
  <c r="J27" i="16"/>
  <c r="I27" i="16"/>
  <c r="J25" i="16"/>
  <c r="V4" i="16"/>
  <c r="I25" i="16"/>
  <c r="K25" i="16" s="1"/>
  <c r="AU22" i="16"/>
  <c r="AG18" i="16"/>
  <c r="AL26" i="16"/>
  <c r="AK26" i="16"/>
  <c r="S22" i="16"/>
  <c r="U33" i="16" s="1"/>
  <c r="K22" i="16"/>
  <c r="AL25" i="16"/>
  <c r="AX4" i="16"/>
  <c r="AK25" i="16"/>
  <c r="AM25" i="16" s="1"/>
  <c r="AM22" i="16"/>
  <c r="M12" i="15"/>
  <c r="AU5" i="15"/>
  <c r="AU7" i="15"/>
  <c r="AU8" i="15"/>
  <c r="AU10" i="15"/>
  <c r="AU11" i="15"/>
  <c r="AU14" i="15"/>
  <c r="S5" i="15"/>
  <c r="S8" i="15"/>
  <c r="S11" i="15"/>
  <c r="S14" i="15"/>
  <c r="AL29" i="15"/>
  <c r="AX5" i="15"/>
  <c r="AK29" i="15"/>
  <c r="AM29" i="15" s="1"/>
  <c r="AL30" i="15"/>
  <c r="AK30" i="15"/>
  <c r="E9" i="15"/>
  <c r="E12" i="15"/>
  <c r="E15" i="15"/>
  <c r="AG15" i="15"/>
  <c r="S4" i="15"/>
  <c r="AU4" i="15"/>
  <c r="AM6" i="15"/>
  <c r="AG6" i="15" s="1"/>
  <c r="S7" i="15"/>
  <c r="AM9" i="15"/>
  <c r="AG9" i="15" s="1"/>
  <c r="S10" i="15"/>
  <c r="AM12" i="15"/>
  <c r="AG12" i="15" s="1"/>
  <c r="S13" i="15"/>
  <c r="AU16" i="15"/>
  <c r="K18" i="15"/>
  <c r="E18" i="15" s="1"/>
  <c r="AU19" i="15"/>
  <c r="K21" i="15"/>
  <c r="E21" i="15" s="1"/>
  <c r="K6" i="15"/>
  <c r="E6" i="15" s="1"/>
  <c r="AU13" i="15"/>
  <c r="AJ30" i="14"/>
  <c r="H30" i="14"/>
  <c r="AJ29" i="14"/>
  <c r="H29" i="14"/>
  <c r="AJ28" i="14"/>
  <c r="H28" i="14"/>
  <c r="AY27" i="14"/>
  <c r="AJ27" i="14"/>
  <c r="W27" i="14"/>
  <c r="H27" i="14"/>
  <c r="AJ26" i="14"/>
  <c r="H26" i="14"/>
  <c r="AJ25" i="14"/>
  <c r="H25" i="14"/>
  <c r="AS21" i="14"/>
  <c r="O21" i="14"/>
  <c r="AS20" i="14"/>
  <c r="AQ20" i="14"/>
  <c r="AO20" i="14"/>
  <c r="AM20" i="14"/>
  <c r="Q20" i="14"/>
  <c r="O20" i="14"/>
  <c r="M20" i="14"/>
  <c r="K20" i="14"/>
  <c r="AS19" i="14"/>
  <c r="AQ19" i="14"/>
  <c r="AQ21" i="14" s="1"/>
  <c r="AO19" i="14"/>
  <c r="AO21" i="14" s="1"/>
  <c r="AM19" i="14"/>
  <c r="AM21" i="14" s="1"/>
  <c r="Q19" i="14"/>
  <c r="O19" i="14"/>
  <c r="M19" i="14"/>
  <c r="K19" i="14"/>
  <c r="S19" i="14" s="1"/>
  <c r="AS18" i="14"/>
  <c r="O18" i="14"/>
  <c r="AS17" i="14"/>
  <c r="AQ17" i="14"/>
  <c r="AO17" i="14"/>
  <c r="AM17" i="14"/>
  <c r="AU17" i="14" s="1"/>
  <c r="Q17" i="14"/>
  <c r="O17" i="14"/>
  <c r="M17" i="14"/>
  <c r="K17" i="14"/>
  <c r="S17" i="14" s="1"/>
  <c r="AS16" i="14"/>
  <c r="AQ16" i="14"/>
  <c r="AO16" i="14"/>
  <c r="AO18" i="14" s="1"/>
  <c r="AM16" i="14"/>
  <c r="Q16" i="14"/>
  <c r="Q18" i="14" s="1"/>
  <c r="O16" i="14"/>
  <c r="M16" i="14"/>
  <c r="M18" i="14" s="1"/>
  <c r="K16" i="14"/>
  <c r="K18" i="14" s="1"/>
  <c r="AC15" i="14"/>
  <c r="Q15" i="14"/>
  <c r="AS14" i="14"/>
  <c r="AQ14" i="14"/>
  <c r="AO14" i="14"/>
  <c r="AM14" i="14"/>
  <c r="AU14" i="14" s="1"/>
  <c r="Q14" i="14"/>
  <c r="O14" i="14"/>
  <c r="M14" i="14"/>
  <c r="K14" i="14"/>
  <c r="AS13" i="14"/>
  <c r="AS15" i="14" s="1"/>
  <c r="AQ13" i="14"/>
  <c r="AQ15" i="14" s="1"/>
  <c r="AO13" i="14"/>
  <c r="AO15" i="14" s="1"/>
  <c r="AM13" i="14"/>
  <c r="AM15" i="14" s="1"/>
  <c r="Q13" i="14"/>
  <c r="O13" i="14"/>
  <c r="O15" i="14" s="1"/>
  <c r="M13" i="14"/>
  <c r="M15" i="14" s="1"/>
  <c r="K13" i="14"/>
  <c r="K15" i="14" s="1"/>
  <c r="AQ12" i="14"/>
  <c r="AM12" i="14"/>
  <c r="Q12" i="14"/>
  <c r="AS11" i="14"/>
  <c r="AQ11" i="14"/>
  <c r="AO11" i="14"/>
  <c r="AM11" i="14"/>
  <c r="Q11" i="14"/>
  <c r="O11" i="14"/>
  <c r="M11" i="14"/>
  <c r="K11" i="14"/>
  <c r="AS10" i="14"/>
  <c r="AQ10" i="14"/>
  <c r="AO10" i="14"/>
  <c r="AM10" i="14"/>
  <c r="Q10" i="14"/>
  <c r="O10" i="14"/>
  <c r="M10" i="14"/>
  <c r="M12" i="14" s="1"/>
  <c r="K10" i="14"/>
  <c r="AQ9" i="14"/>
  <c r="Q9" i="14"/>
  <c r="AS8" i="14"/>
  <c r="AQ8" i="14"/>
  <c r="AO8" i="14"/>
  <c r="AM8" i="14"/>
  <c r="Q8" i="14"/>
  <c r="O8" i="14"/>
  <c r="M8" i="14"/>
  <c r="K8" i="14"/>
  <c r="AS7" i="14"/>
  <c r="AS9" i="14" s="1"/>
  <c r="AQ7" i="14"/>
  <c r="AO7" i="14"/>
  <c r="AO9" i="14" s="1"/>
  <c r="AM7" i="14"/>
  <c r="AM9" i="14" s="1"/>
  <c r="Q7" i="14"/>
  <c r="O7" i="14"/>
  <c r="O9" i="14" s="1"/>
  <c r="M7" i="14"/>
  <c r="M9" i="14" s="1"/>
  <c r="K7" i="14"/>
  <c r="K9" i="14" s="1"/>
  <c r="Q6" i="14"/>
  <c r="AS5" i="14"/>
  <c r="AQ5" i="14"/>
  <c r="AO5" i="14"/>
  <c r="AM5" i="14"/>
  <c r="Q5" i="14"/>
  <c r="O5" i="14"/>
  <c r="M5" i="14"/>
  <c r="K5" i="14"/>
  <c r="AS4" i="14"/>
  <c r="AS6" i="14" s="1"/>
  <c r="AQ4" i="14"/>
  <c r="AQ6" i="14" s="1"/>
  <c r="AO4" i="14"/>
  <c r="AO6" i="14" s="1"/>
  <c r="AM4" i="14"/>
  <c r="Q4" i="14"/>
  <c r="O4" i="14"/>
  <c r="O6" i="14" s="1"/>
  <c r="M4" i="14"/>
  <c r="M6" i="14" s="1"/>
  <c r="K4" i="14"/>
  <c r="AM26" i="16" l="1"/>
  <c r="K30" i="16"/>
  <c r="V5" i="16"/>
  <c r="AL29" i="16"/>
  <c r="AX5" i="16"/>
  <c r="AK29" i="16"/>
  <c r="K27" i="16"/>
  <c r="AM27" i="16"/>
  <c r="S22" i="15"/>
  <c r="U33" i="15" s="1"/>
  <c r="J25" i="15"/>
  <c r="V4" i="15"/>
  <c r="I25" i="15"/>
  <c r="K25" i="15" s="1"/>
  <c r="AK27" i="15"/>
  <c r="AL27" i="15"/>
  <c r="AL26" i="15"/>
  <c r="AK26" i="15"/>
  <c r="AL25" i="15"/>
  <c r="AX4" i="15"/>
  <c r="AK25" i="15"/>
  <c r="AM25" i="15" s="1"/>
  <c r="J28" i="15"/>
  <c r="I28" i="15"/>
  <c r="K28" i="15" s="1"/>
  <c r="J26" i="15"/>
  <c r="I26" i="15"/>
  <c r="K22" i="15"/>
  <c r="J30" i="15"/>
  <c r="I30" i="15"/>
  <c r="J29" i="15"/>
  <c r="V5" i="15"/>
  <c r="I29" i="15"/>
  <c r="K29" i="15" s="1"/>
  <c r="AU22" i="15"/>
  <c r="AL28" i="15"/>
  <c r="AK28" i="15"/>
  <c r="J27" i="15"/>
  <c r="I27" i="15"/>
  <c r="AM22" i="15"/>
  <c r="AM30" i="15"/>
  <c r="AU8" i="14"/>
  <c r="AU5" i="14"/>
  <c r="AU10" i="14"/>
  <c r="AG15" i="14"/>
  <c r="AK28" i="14" s="1"/>
  <c r="AG21" i="14"/>
  <c r="AK30" i="14" s="1"/>
  <c r="AU20" i="14"/>
  <c r="K21" i="14"/>
  <c r="S5" i="14"/>
  <c r="E9" i="14"/>
  <c r="J26" i="14" s="1"/>
  <c r="S8" i="14"/>
  <c r="S11" i="14"/>
  <c r="E15" i="14"/>
  <c r="I28" i="14" s="1"/>
  <c r="S14" i="14"/>
  <c r="AL28" i="14"/>
  <c r="I26" i="14"/>
  <c r="J28" i="14"/>
  <c r="AU4" i="14"/>
  <c r="AM6" i="14"/>
  <c r="AG6" i="14" s="1"/>
  <c r="S7" i="14"/>
  <c r="S13" i="14"/>
  <c r="AL30" i="14"/>
  <c r="AU19" i="14"/>
  <c r="K6" i="14"/>
  <c r="E6" i="14" s="1"/>
  <c r="S4" i="14"/>
  <c r="AU7" i="14"/>
  <c r="AG9" i="14"/>
  <c r="K12" i="14"/>
  <c r="E12" i="14" s="1"/>
  <c r="O12" i="14"/>
  <c r="S10" i="14"/>
  <c r="AO12" i="14"/>
  <c r="AG12" i="14" s="1"/>
  <c r="AS12" i="14"/>
  <c r="AU11" i="14"/>
  <c r="S16" i="14"/>
  <c r="AM18" i="14"/>
  <c r="AQ18" i="14"/>
  <c r="AU16" i="14"/>
  <c r="E18" i="14"/>
  <c r="M21" i="14"/>
  <c r="Q21" i="14"/>
  <c r="S20" i="14"/>
  <c r="AU13" i="14"/>
  <c r="AJ30" i="13"/>
  <c r="H30" i="13"/>
  <c r="AJ29" i="13"/>
  <c r="H29" i="13"/>
  <c r="AJ28" i="13"/>
  <c r="H28" i="13"/>
  <c r="AY27" i="13"/>
  <c r="AJ27" i="13"/>
  <c r="W27" i="13"/>
  <c r="H27" i="13"/>
  <c r="AJ26" i="13"/>
  <c r="H26" i="13"/>
  <c r="AJ25" i="13"/>
  <c r="H25" i="13"/>
  <c r="AS20" i="13"/>
  <c r="AQ20" i="13"/>
  <c r="AO20" i="13"/>
  <c r="AM20" i="13"/>
  <c r="AU20" i="13" s="1"/>
  <c r="Q20" i="13"/>
  <c r="O20" i="13"/>
  <c r="M20" i="13"/>
  <c r="K20" i="13"/>
  <c r="S20" i="13" s="1"/>
  <c r="AS19" i="13"/>
  <c r="AS21" i="13" s="1"/>
  <c r="AQ19" i="13"/>
  <c r="AQ21" i="13" s="1"/>
  <c r="AO19" i="13"/>
  <c r="AO21" i="13" s="1"/>
  <c r="AM19" i="13"/>
  <c r="AM21" i="13" s="1"/>
  <c r="AG21" i="13" s="1"/>
  <c r="Q19" i="13"/>
  <c r="Q21" i="13" s="1"/>
  <c r="O19" i="13"/>
  <c r="O21" i="13" s="1"/>
  <c r="M19" i="13"/>
  <c r="M21" i="13" s="1"/>
  <c r="K19" i="13"/>
  <c r="S19" i="13" s="1"/>
  <c r="AS17" i="13"/>
  <c r="AQ17" i="13"/>
  <c r="AO17" i="13"/>
  <c r="AM17" i="13"/>
  <c r="AU17" i="13" s="1"/>
  <c r="Q17" i="13"/>
  <c r="O17" i="13"/>
  <c r="M17" i="13"/>
  <c r="K17" i="13"/>
  <c r="S17" i="13" s="1"/>
  <c r="AS16" i="13"/>
  <c r="AS18" i="13" s="1"/>
  <c r="AQ16" i="13"/>
  <c r="AQ18" i="13" s="1"/>
  <c r="AO16" i="13"/>
  <c r="AO18" i="13" s="1"/>
  <c r="AM16" i="13"/>
  <c r="AM18" i="13" s="1"/>
  <c r="Q16" i="13"/>
  <c r="Q18" i="13" s="1"/>
  <c r="O16" i="13"/>
  <c r="O18" i="13" s="1"/>
  <c r="M16" i="13"/>
  <c r="M18" i="13" s="1"/>
  <c r="K16" i="13"/>
  <c r="S16" i="13" s="1"/>
  <c r="AC15" i="13"/>
  <c r="AS14" i="13"/>
  <c r="AQ14" i="13"/>
  <c r="AO14" i="13"/>
  <c r="AM14" i="13"/>
  <c r="Q14" i="13"/>
  <c r="O14" i="13"/>
  <c r="M14" i="13"/>
  <c r="K14" i="13"/>
  <c r="AS13" i="13"/>
  <c r="AS15" i="13" s="1"/>
  <c r="AQ13" i="13"/>
  <c r="AQ15" i="13" s="1"/>
  <c r="AO13" i="13"/>
  <c r="AO15" i="13" s="1"/>
  <c r="AM13" i="13"/>
  <c r="AM15" i="13" s="1"/>
  <c r="Q13" i="13"/>
  <c r="Q15" i="13" s="1"/>
  <c r="O13" i="13"/>
  <c r="O15" i="13" s="1"/>
  <c r="M13" i="13"/>
  <c r="M15" i="13" s="1"/>
  <c r="K13" i="13"/>
  <c r="K15" i="13" s="1"/>
  <c r="AS11" i="13"/>
  <c r="AQ11" i="13"/>
  <c r="AO11" i="13"/>
  <c r="AM11" i="13"/>
  <c r="Q11" i="13"/>
  <c r="O11" i="13"/>
  <c r="M11" i="13"/>
  <c r="K11" i="13"/>
  <c r="AS10" i="13"/>
  <c r="AS12" i="13" s="1"/>
  <c r="AQ10" i="13"/>
  <c r="AQ12" i="13" s="1"/>
  <c r="AO10" i="13"/>
  <c r="AO12" i="13" s="1"/>
  <c r="AM10" i="13"/>
  <c r="Q10" i="13"/>
  <c r="Q12" i="13" s="1"/>
  <c r="O10" i="13"/>
  <c r="O12" i="13" s="1"/>
  <c r="M10" i="13"/>
  <c r="K10" i="13"/>
  <c r="K12" i="13" s="1"/>
  <c r="AS8" i="13"/>
  <c r="AQ8" i="13"/>
  <c r="AO8" i="13"/>
  <c r="AM8" i="13"/>
  <c r="Q8" i="13"/>
  <c r="O8" i="13"/>
  <c r="M8" i="13"/>
  <c r="K8" i="13"/>
  <c r="AS7" i="13"/>
  <c r="AS9" i="13" s="1"/>
  <c r="AQ7" i="13"/>
  <c r="AQ9" i="13" s="1"/>
  <c r="AO7" i="13"/>
  <c r="AO9" i="13" s="1"/>
  <c r="AM7" i="13"/>
  <c r="Q7" i="13"/>
  <c r="Q9" i="13" s="1"/>
  <c r="O7" i="13"/>
  <c r="O9" i="13" s="1"/>
  <c r="M7" i="13"/>
  <c r="M9" i="13" s="1"/>
  <c r="K7" i="13"/>
  <c r="K9" i="13" s="1"/>
  <c r="AS5" i="13"/>
  <c r="AQ5" i="13"/>
  <c r="AO5" i="13"/>
  <c r="AM5" i="13"/>
  <c r="Q5" i="13"/>
  <c r="O5" i="13"/>
  <c r="M5" i="13"/>
  <c r="K5" i="13"/>
  <c r="AS4" i="13"/>
  <c r="AS6" i="13" s="1"/>
  <c r="AQ4" i="13"/>
  <c r="AQ6" i="13" s="1"/>
  <c r="AO4" i="13"/>
  <c r="AO6" i="13" s="1"/>
  <c r="AM4" i="13"/>
  <c r="Q4" i="13"/>
  <c r="Q6" i="13" s="1"/>
  <c r="O4" i="13"/>
  <c r="O6" i="13" s="1"/>
  <c r="M4" i="13"/>
  <c r="M6" i="13" s="1"/>
  <c r="K4" i="13"/>
  <c r="AM29" i="16" l="1"/>
  <c r="AM27" i="15"/>
  <c r="K26" i="15"/>
  <c r="K27" i="15"/>
  <c r="AM28" i="15"/>
  <c r="K30" i="15"/>
  <c r="AM26" i="15"/>
  <c r="AM30" i="14"/>
  <c r="AM28" i="14"/>
  <c r="K28" i="14"/>
  <c r="E21" i="14"/>
  <c r="I30" i="14" s="1"/>
  <c r="K26" i="14"/>
  <c r="J30" i="14"/>
  <c r="AK27" i="14"/>
  <c r="AL27" i="14"/>
  <c r="J29" i="14"/>
  <c r="I29" i="14"/>
  <c r="K29" i="14" s="1"/>
  <c r="J27" i="14"/>
  <c r="I27" i="14"/>
  <c r="J25" i="14"/>
  <c r="V4" i="14"/>
  <c r="I25" i="14"/>
  <c r="K25" i="14" s="1"/>
  <c r="AU22" i="14"/>
  <c r="AG18" i="14"/>
  <c r="AL26" i="14"/>
  <c r="AK26" i="14"/>
  <c r="S22" i="14"/>
  <c r="U33" i="14" s="1"/>
  <c r="K22" i="14"/>
  <c r="AL25" i="14"/>
  <c r="AX4" i="14"/>
  <c r="AK25" i="14"/>
  <c r="AM25" i="14" s="1"/>
  <c r="AM22" i="14"/>
  <c r="AU10" i="13"/>
  <c r="AU14" i="13"/>
  <c r="AU11" i="13"/>
  <c r="AU8" i="13"/>
  <c r="AU7" i="13"/>
  <c r="AU5" i="13"/>
  <c r="M12" i="13"/>
  <c r="AG18" i="13"/>
  <c r="AL29" i="13" s="1"/>
  <c r="S5" i="13"/>
  <c r="S8" i="13"/>
  <c r="S11" i="13"/>
  <c r="S14" i="13"/>
  <c r="AX5" i="13"/>
  <c r="AL30" i="13"/>
  <c r="AK30" i="13"/>
  <c r="E9" i="13"/>
  <c r="E12" i="13"/>
  <c r="E15" i="13"/>
  <c r="AG15" i="13"/>
  <c r="AU4" i="13"/>
  <c r="AM6" i="13"/>
  <c r="AG6" i="13" s="1"/>
  <c r="S7" i="13"/>
  <c r="AM9" i="13"/>
  <c r="AG9" i="13" s="1"/>
  <c r="S10" i="13"/>
  <c r="AM12" i="13"/>
  <c r="AG12" i="13" s="1"/>
  <c r="S13" i="13"/>
  <c r="AU16" i="13"/>
  <c r="K18" i="13"/>
  <c r="E18" i="13" s="1"/>
  <c r="AU19" i="13"/>
  <c r="K21" i="13"/>
  <c r="E21" i="13" s="1"/>
  <c r="S4" i="13"/>
  <c r="K6" i="13"/>
  <c r="E6" i="13" s="1"/>
  <c r="AU13" i="13"/>
  <c r="AJ30" i="12"/>
  <c r="H30" i="12"/>
  <c r="AJ29" i="12"/>
  <c r="H29" i="12"/>
  <c r="AJ28" i="12"/>
  <c r="H28" i="12"/>
  <c r="AY27" i="12"/>
  <c r="AJ27" i="12"/>
  <c r="W27" i="12"/>
  <c r="H27" i="12"/>
  <c r="AJ26" i="12"/>
  <c r="H26" i="12"/>
  <c r="AJ25" i="12"/>
  <c r="H25" i="12"/>
  <c r="AS20" i="12"/>
  <c r="AQ20" i="12"/>
  <c r="AO20" i="12"/>
  <c r="AM20" i="12"/>
  <c r="AU20" i="12" s="1"/>
  <c r="Q20" i="12"/>
  <c r="O20" i="12"/>
  <c r="M20" i="12"/>
  <c r="K20" i="12"/>
  <c r="S20" i="12" s="1"/>
  <c r="AS19" i="12"/>
  <c r="AS21" i="12" s="1"/>
  <c r="AQ19" i="12"/>
  <c r="AQ21" i="12" s="1"/>
  <c r="AO19" i="12"/>
  <c r="AO21" i="12" s="1"/>
  <c r="AM19" i="12"/>
  <c r="AM21" i="12" s="1"/>
  <c r="AG21" i="12" s="1"/>
  <c r="Q19" i="12"/>
  <c r="Q21" i="12" s="1"/>
  <c r="O19" i="12"/>
  <c r="O21" i="12" s="1"/>
  <c r="M19" i="12"/>
  <c r="M21" i="12" s="1"/>
  <c r="K19" i="12"/>
  <c r="S19" i="12" s="1"/>
  <c r="AS17" i="12"/>
  <c r="AQ17" i="12"/>
  <c r="AO17" i="12"/>
  <c r="AM17" i="12"/>
  <c r="AU17" i="12" s="1"/>
  <c r="Q17" i="12"/>
  <c r="O17" i="12"/>
  <c r="M17" i="12"/>
  <c r="K17" i="12"/>
  <c r="S17" i="12" s="1"/>
  <c r="AS16" i="12"/>
  <c r="AS18" i="12" s="1"/>
  <c r="AQ16" i="12"/>
  <c r="AQ18" i="12" s="1"/>
  <c r="AO16" i="12"/>
  <c r="AO18" i="12" s="1"/>
  <c r="AM16" i="12"/>
  <c r="AM18" i="12" s="1"/>
  <c r="AG18" i="12" s="1"/>
  <c r="Q16" i="12"/>
  <c r="Q18" i="12" s="1"/>
  <c r="O16" i="12"/>
  <c r="O18" i="12" s="1"/>
  <c r="M16" i="12"/>
  <c r="M18" i="12" s="1"/>
  <c r="K16" i="12"/>
  <c r="S16" i="12" s="1"/>
  <c r="AC15" i="12"/>
  <c r="AS14" i="12"/>
  <c r="AQ14" i="12"/>
  <c r="AO14" i="12"/>
  <c r="AM14" i="12"/>
  <c r="Q14" i="12"/>
  <c r="O14" i="12"/>
  <c r="M14" i="12"/>
  <c r="K14" i="12"/>
  <c r="AS13" i="12"/>
  <c r="AS15" i="12" s="1"/>
  <c r="AQ13" i="12"/>
  <c r="AQ15" i="12" s="1"/>
  <c r="AO13" i="12"/>
  <c r="AO15" i="12" s="1"/>
  <c r="AM13" i="12"/>
  <c r="AM15" i="12" s="1"/>
  <c r="Q13" i="12"/>
  <c r="Q15" i="12" s="1"/>
  <c r="O13" i="12"/>
  <c r="O15" i="12" s="1"/>
  <c r="M13" i="12"/>
  <c r="M15" i="12" s="1"/>
  <c r="K13" i="12"/>
  <c r="K15" i="12" s="1"/>
  <c r="AS11" i="12"/>
  <c r="AQ11" i="12"/>
  <c r="AO11" i="12"/>
  <c r="AM11" i="12"/>
  <c r="Q11" i="12"/>
  <c r="O11" i="12"/>
  <c r="M11" i="12"/>
  <c r="K11" i="12"/>
  <c r="AS10" i="12"/>
  <c r="AS12" i="12" s="1"/>
  <c r="AQ10" i="12"/>
  <c r="AQ12" i="12" s="1"/>
  <c r="AO10" i="12"/>
  <c r="AO12" i="12" s="1"/>
  <c r="AM10" i="12"/>
  <c r="Q10" i="12"/>
  <c r="Q12" i="12" s="1"/>
  <c r="O10" i="12"/>
  <c r="O12" i="12" s="1"/>
  <c r="M10" i="12"/>
  <c r="M12" i="12" s="1"/>
  <c r="K10" i="12"/>
  <c r="K12" i="12" s="1"/>
  <c r="AS8" i="12"/>
  <c r="AQ8" i="12"/>
  <c r="AO8" i="12"/>
  <c r="AM8" i="12"/>
  <c r="Q8" i="12"/>
  <c r="O8" i="12"/>
  <c r="M8" i="12"/>
  <c r="K8" i="12"/>
  <c r="AS7" i="12"/>
  <c r="AS9" i="12" s="1"/>
  <c r="AQ7" i="12"/>
  <c r="AQ9" i="12" s="1"/>
  <c r="AO7" i="12"/>
  <c r="AO9" i="12" s="1"/>
  <c r="AM7" i="12"/>
  <c r="Q7" i="12"/>
  <c r="Q9" i="12" s="1"/>
  <c r="O7" i="12"/>
  <c r="O9" i="12" s="1"/>
  <c r="M7" i="12"/>
  <c r="M9" i="12" s="1"/>
  <c r="K7" i="12"/>
  <c r="K9" i="12" s="1"/>
  <c r="AS5" i="12"/>
  <c r="AQ5" i="12"/>
  <c r="AO5" i="12"/>
  <c r="AM5" i="12"/>
  <c r="Q5" i="12"/>
  <c r="O5" i="12"/>
  <c r="M5" i="12"/>
  <c r="K5" i="12"/>
  <c r="AS4" i="12"/>
  <c r="AS6" i="12" s="1"/>
  <c r="AQ4" i="12"/>
  <c r="AQ6" i="12" s="1"/>
  <c r="AO4" i="12"/>
  <c r="AO6" i="12" s="1"/>
  <c r="AM4" i="12"/>
  <c r="Q4" i="12"/>
  <c r="Q6" i="12" s="1"/>
  <c r="O4" i="12"/>
  <c r="O6" i="12" s="1"/>
  <c r="M4" i="12"/>
  <c r="M6" i="12" s="1"/>
  <c r="K4" i="12"/>
  <c r="AM26" i="14" l="1"/>
  <c r="K30" i="14"/>
  <c r="V5" i="14"/>
  <c r="AL29" i="14"/>
  <c r="AX5" i="14"/>
  <c r="AK29" i="14"/>
  <c r="AM29" i="14" s="1"/>
  <c r="K27" i="14"/>
  <c r="AM27" i="14"/>
  <c r="AK29" i="13"/>
  <c r="AM29" i="13" s="1"/>
  <c r="J30" i="13"/>
  <c r="I30" i="13"/>
  <c r="K30" i="13" s="1"/>
  <c r="J29" i="13"/>
  <c r="V5" i="13"/>
  <c r="I29" i="13"/>
  <c r="K29" i="13" s="1"/>
  <c r="AU22" i="13"/>
  <c r="J28" i="13"/>
  <c r="I28" i="13"/>
  <c r="K28" i="13" s="1"/>
  <c r="J26" i="13"/>
  <c r="I26" i="13"/>
  <c r="K22" i="13"/>
  <c r="J25" i="13"/>
  <c r="V4" i="13"/>
  <c r="I25" i="13"/>
  <c r="K25" i="13" s="1"/>
  <c r="S22" i="13"/>
  <c r="U33" i="13" s="1"/>
  <c r="AK27" i="13"/>
  <c r="AL27" i="13"/>
  <c r="AL26" i="13"/>
  <c r="AK26" i="13"/>
  <c r="AL25" i="13"/>
  <c r="AX4" i="13"/>
  <c r="AK25" i="13"/>
  <c r="AM25" i="13" s="1"/>
  <c r="AL28" i="13"/>
  <c r="AK28" i="13"/>
  <c r="J27" i="13"/>
  <c r="I27" i="13"/>
  <c r="AM22" i="13"/>
  <c r="AM30" i="13"/>
  <c r="AU5" i="12"/>
  <c r="AU7" i="12"/>
  <c r="AU8" i="12"/>
  <c r="AU10" i="12"/>
  <c r="AU11" i="12"/>
  <c r="AU14" i="12"/>
  <c r="S5" i="12"/>
  <c r="S8" i="12"/>
  <c r="S11" i="12"/>
  <c r="S14" i="12"/>
  <c r="AL29" i="12"/>
  <c r="AX5" i="12"/>
  <c r="AK29" i="12"/>
  <c r="AM29" i="12" s="1"/>
  <c r="AL30" i="12"/>
  <c r="AK30" i="12"/>
  <c r="E9" i="12"/>
  <c r="E12" i="12"/>
  <c r="E15" i="12"/>
  <c r="AG15" i="12"/>
  <c r="AU4" i="12"/>
  <c r="AM6" i="12"/>
  <c r="AG6" i="12" s="1"/>
  <c r="S7" i="12"/>
  <c r="AM9" i="12"/>
  <c r="AG9" i="12" s="1"/>
  <c r="S10" i="12"/>
  <c r="AM12" i="12"/>
  <c r="AG12" i="12" s="1"/>
  <c r="S13" i="12"/>
  <c r="AU16" i="12"/>
  <c r="K18" i="12"/>
  <c r="E18" i="12" s="1"/>
  <c r="AU19" i="12"/>
  <c r="K21" i="12"/>
  <c r="E21" i="12" s="1"/>
  <c r="S4" i="12"/>
  <c r="K6" i="12"/>
  <c r="E6" i="12" s="1"/>
  <c r="AU13" i="12"/>
  <c r="AJ30" i="11"/>
  <c r="H30" i="11"/>
  <c r="AJ29" i="11"/>
  <c r="H29" i="11"/>
  <c r="AJ28" i="11"/>
  <c r="H28" i="11"/>
  <c r="AY27" i="11"/>
  <c r="AJ27" i="11"/>
  <c r="W27" i="11"/>
  <c r="H27" i="11"/>
  <c r="AJ26" i="11"/>
  <c r="H26" i="11"/>
  <c r="AJ25" i="11"/>
  <c r="H25" i="11"/>
  <c r="AQ21" i="11"/>
  <c r="Q21" i="11"/>
  <c r="M21" i="11"/>
  <c r="AS20" i="11"/>
  <c r="AQ20" i="11"/>
  <c r="AO20" i="11"/>
  <c r="AM20" i="11"/>
  <c r="Q20" i="11"/>
  <c r="O20" i="11"/>
  <c r="M20" i="11"/>
  <c r="K20" i="11"/>
  <c r="S20" i="11" s="1"/>
  <c r="AS19" i="11"/>
  <c r="AS21" i="11" s="1"/>
  <c r="AQ19" i="11"/>
  <c r="AO19" i="11"/>
  <c r="AO21" i="11" s="1"/>
  <c r="AM19" i="11"/>
  <c r="Q19" i="11"/>
  <c r="O19" i="11"/>
  <c r="O21" i="11" s="1"/>
  <c r="M19" i="11"/>
  <c r="K19" i="11"/>
  <c r="K21" i="11" s="1"/>
  <c r="E21" i="11" s="1"/>
  <c r="AQ18" i="11"/>
  <c r="Q18" i="11"/>
  <c r="AS17" i="11"/>
  <c r="AQ17" i="11"/>
  <c r="AO17" i="11"/>
  <c r="AM17" i="11"/>
  <c r="Q17" i="11"/>
  <c r="O17" i="11"/>
  <c r="M17" i="11"/>
  <c r="K17" i="11"/>
  <c r="S17" i="11" s="1"/>
  <c r="AS16" i="11"/>
  <c r="AS18" i="11" s="1"/>
  <c r="AQ16" i="11"/>
  <c r="AO16" i="11"/>
  <c r="AO18" i="11" s="1"/>
  <c r="AM16" i="11"/>
  <c r="Q16" i="11"/>
  <c r="O16" i="11"/>
  <c r="O18" i="11" s="1"/>
  <c r="M16" i="11"/>
  <c r="M18" i="11" s="1"/>
  <c r="K16" i="11"/>
  <c r="AC15" i="11"/>
  <c r="O15" i="11"/>
  <c r="AS14" i="11"/>
  <c r="AQ14" i="11"/>
  <c r="AO14" i="11"/>
  <c r="AM14" i="11"/>
  <c r="Q14" i="11"/>
  <c r="O14" i="11"/>
  <c r="M14" i="11"/>
  <c r="K14" i="11"/>
  <c r="AS13" i="11"/>
  <c r="AS15" i="11" s="1"/>
  <c r="AQ13" i="11"/>
  <c r="AQ15" i="11" s="1"/>
  <c r="AO13" i="11"/>
  <c r="AO15" i="11" s="1"/>
  <c r="AM13" i="11"/>
  <c r="AM15" i="11" s="1"/>
  <c r="Q13" i="11"/>
  <c r="Q15" i="11" s="1"/>
  <c r="O13" i="11"/>
  <c r="M13" i="11"/>
  <c r="M15" i="11" s="1"/>
  <c r="K13" i="11"/>
  <c r="AS12" i="11"/>
  <c r="O12" i="11"/>
  <c r="AS11" i="11"/>
  <c r="AQ11" i="11"/>
  <c r="AO11" i="11"/>
  <c r="AM11" i="11"/>
  <c r="Q11" i="11"/>
  <c r="O11" i="11"/>
  <c r="M11" i="11"/>
  <c r="K11" i="11"/>
  <c r="AS10" i="11"/>
  <c r="AQ10" i="11"/>
  <c r="AQ12" i="11" s="1"/>
  <c r="AO10" i="11"/>
  <c r="AO12" i="11" s="1"/>
  <c r="AM10" i="11"/>
  <c r="Q10" i="11"/>
  <c r="Q12" i="11" s="1"/>
  <c r="O10" i="11"/>
  <c r="M10" i="11"/>
  <c r="M12" i="11" s="1"/>
  <c r="K10" i="11"/>
  <c r="AS9" i="11"/>
  <c r="O9" i="11"/>
  <c r="AS8" i="11"/>
  <c r="AQ8" i="11"/>
  <c r="AO8" i="11"/>
  <c r="AM8" i="11"/>
  <c r="Q8" i="11"/>
  <c r="O8" i="11"/>
  <c r="M8" i="11"/>
  <c r="K8" i="11"/>
  <c r="AS7" i="11"/>
  <c r="AQ7" i="11"/>
  <c r="AQ9" i="11" s="1"/>
  <c r="AO7" i="11"/>
  <c r="AO9" i="11" s="1"/>
  <c r="AM7" i="11"/>
  <c r="Q7" i="11"/>
  <c r="Q9" i="11" s="1"/>
  <c r="O7" i="11"/>
  <c r="M7" i="11"/>
  <c r="M9" i="11" s="1"/>
  <c r="K7" i="11"/>
  <c r="O6" i="11"/>
  <c r="AS5" i="11"/>
  <c r="AQ5" i="11"/>
  <c r="AO5" i="11"/>
  <c r="AM5" i="11"/>
  <c r="Q5" i="11"/>
  <c r="O5" i="11"/>
  <c r="M5" i="11"/>
  <c r="K5" i="11"/>
  <c r="AS4" i="11"/>
  <c r="AS6" i="11" s="1"/>
  <c r="AQ4" i="11"/>
  <c r="AQ6" i="11" s="1"/>
  <c r="AO4" i="11"/>
  <c r="AO6" i="11" s="1"/>
  <c r="AM4" i="11"/>
  <c r="Q4" i="11"/>
  <c r="Q6" i="11" s="1"/>
  <c r="O4" i="11"/>
  <c r="M4" i="11"/>
  <c r="K4" i="11"/>
  <c r="K6" i="11" s="1"/>
  <c r="K26" i="13" l="1"/>
  <c r="AM26" i="13"/>
  <c r="K27" i="13"/>
  <c r="AM28" i="13"/>
  <c r="AM27" i="13"/>
  <c r="S22" i="12"/>
  <c r="U33" i="12" s="1"/>
  <c r="J25" i="12"/>
  <c r="V4" i="12"/>
  <c r="I25" i="12"/>
  <c r="K25" i="12" s="1"/>
  <c r="J30" i="12"/>
  <c r="I30" i="12"/>
  <c r="J29" i="12"/>
  <c r="V5" i="12"/>
  <c r="I29" i="12"/>
  <c r="K29" i="12" s="1"/>
  <c r="AU22" i="12"/>
  <c r="J28" i="12"/>
  <c r="I28" i="12"/>
  <c r="J26" i="12"/>
  <c r="I26" i="12"/>
  <c r="K22" i="12"/>
  <c r="AK27" i="12"/>
  <c r="AL27" i="12"/>
  <c r="AL26" i="12"/>
  <c r="AK26" i="12"/>
  <c r="AL25" i="12"/>
  <c r="AX4" i="12"/>
  <c r="AK25" i="12"/>
  <c r="AM25" i="12" s="1"/>
  <c r="AL28" i="12"/>
  <c r="AK28" i="12"/>
  <c r="J27" i="12"/>
  <c r="I27" i="12"/>
  <c r="AM22" i="12"/>
  <c r="AM30" i="12"/>
  <c r="AU20" i="11"/>
  <c r="AU19" i="11"/>
  <c r="AU17" i="11"/>
  <c r="AU16" i="11"/>
  <c r="AU14" i="11"/>
  <c r="AU8" i="11"/>
  <c r="AU7" i="11"/>
  <c r="M6" i="11"/>
  <c r="S16" i="11"/>
  <c r="AM18" i="11"/>
  <c r="AG18" i="11" s="1"/>
  <c r="AL29" i="11" s="1"/>
  <c r="AM21" i="11"/>
  <c r="AG21" i="11" s="1"/>
  <c r="AL30" i="11" s="1"/>
  <c r="AU5" i="11"/>
  <c r="AU10" i="11"/>
  <c r="AU11" i="11"/>
  <c r="S5" i="11"/>
  <c r="S7" i="11"/>
  <c r="S8" i="11"/>
  <c r="K9" i="11"/>
  <c r="S10" i="11"/>
  <c r="S11" i="11"/>
  <c r="K12" i="11"/>
  <c r="S13" i="11"/>
  <c r="S14" i="11"/>
  <c r="K15" i="11"/>
  <c r="E15" i="11" s="1"/>
  <c r="J30" i="11"/>
  <c r="I30" i="11"/>
  <c r="AK30" i="11"/>
  <c r="E6" i="11"/>
  <c r="E9" i="11"/>
  <c r="E12" i="11"/>
  <c r="AG15" i="11"/>
  <c r="AU13" i="11"/>
  <c r="S19" i="11"/>
  <c r="S4" i="11"/>
  <c r="AU4" i="11"/>
  <c r="AM6" i="11"/>
  <c r="AG6" i="11" s="1"/>
  <c r="AM9" i="11"/>
  <c r="AG9" i="11" s="1"/>
  <c r="AM12" i="11"/>
  <c r="AG12" i="11" s="1"/>
  <c r="K18" i="11"/>
  <c r="E18" i="11" s="1"/>
  <c r="AJ30" i="10"/>
  <c r="H30" i="10"/>
  <c r="AJ29" i="10"/>
  <c r="H29" i="10"/>
  <c r="AJ28" i="10"/>
  <c r="H28" i="10"/>
  <c r="AY27" i="10"/>
  <c r="AJ27" i="10"/>
  <c r="W27" i="10"/>
  <c r="H27" i="10"/>
  <c r="AJ26" i="10"/>
  <c r="H26" i="10"/>
  <c r="AJ25" i="10"/>
  <c r="H25" i="10"/>
  <c r="AS20" i="10"/>
  <c r="AQ20" i="10"/>
  <c r="AO20" i="10"/>
  <c r="AM20" i="10"/>
  <c r="AU20" i="10" s="1"/>
  <c r="Q20" i="10"/>
  <c r="O20" i="10"/>
  <c r="M20" i="10"/>
  <c r="K20" i="10"/>
  <c r="S20" i="10" s="1"/>
  <c r="AS19" i="10"/>
  <c r="AS21" i="10" s="1"/>
  <c r="AQ19" i="10"/>
  <c r="AQ21" i="10" s="1"/>
  <c r="AO19" i="10"/>
  <c r="AO21" i="10" s="1"/>
  <c r="AM19" i="10"/>
  <c r="AM21" i="10" s="1"/>
  <c r="AG21" i="10" s="1"/>
  <c r="Q19" i="10"/>
  <c r="Q21" i="10" s="1"/>
  <c r="O19" i="10"/>
  <c r="O21" i="10" s="1"/>
  <c r="M19" i="10"/>
  <c r="M21" i="10" s="1"/>
  <c r="K19" i="10"/>
  <c r="S19" i="10" s="1"/>
  <c r="AS17" i="10"/>
  <c r="AQ17" i="10"/>
  <c r="AO17" i="10"/>
  <c r="AM17" i="10"/>
  <c r="AU17" i="10" s="1"/>
  <c r="Q17" i="10"/>
  <c r="O17" i="10"/>
  <c r="M17" i="10"/>
  <c r="K17" i="10"/>
  <c r="S17" i="10" s="1"/>
  <c r="AS16" i="10"/>
  <c r="AS18" i="10" s="1"/>
  <c r="AQ16" i="10"/>
  <c r="AQ18" i="10" s="1"/>
  <c r="AO16" i="10"/>
  <c r="AO18" i="10" s="1"/>
  <c r="AM16" i="10"/>
  <c r="AM18" i="10" s="1"/>
  <c r="AG18" i="10" s="1"/>
  <c r="Q16" i="10"/>
  <c r="Q18" i="10" s="1"/>
  <c r="O16" i="10"/>
  <c r="O18" i="10" s="1"/>
  <c r="M16" i="10"/>
  <c r="M18" i="10" s="1"/>
  <c r="K16" i="10"/>
  <c r="S16" i="10" s="1"/>
  <c r="AC15" i="10"/>
  <c r="O15" i="10"/>
  <c r="AS14" i="10"/>
  <c r="AQ14" i="10"/>
  <c r="AO14" i="10"/>
  <c r="AM14" i="10"/>
  <c r="AU14" i="10" s="1"/>
  <c r="Q14" i="10"/>
  <c r="O14" i="10"/>
  <c r="M14" i="10"/>
  <c r="K14" i="10"/>
  <c r="AS13" i="10"/>
  <c r="AS15" i="10" s="1"/>
  <c r="AQ13" i="10"/>
  <c r="AQ15" i="10" s="1"/>
  <c r="AO13" i="10"/>
  <c r="AO15" i="10" s="1"/>
  <c r="AM13" i="10"/>
  <c r="AM15" i="10" s="1"/>
  <c r="Q13" i="10"/>
  <c r="Q15" i="10" s="1"/>
  <c r="O13" i="10"/>
  <c r="M13" i="10"/>
  <c r="M15" i="10" s="1"/>
  <c r="K13" i="10"/>
  <c r="AS12" i="10"/>
  <c r="O12" i="10"/>
  <c r="AS11" i="10"/>
  <c r="AQ11" i="10"/>
  <c r="AO11" i="10"/>
  <c r="AM11" i="10"/>
  <c r="Q11" i="10"/>
  <c r="O11" i="10"/>
  <c r="M11" i="10"/>
  <c r="K11" i="10"/>
  <c r="AS10" i="10"/>
  <c r="AQ10" i="10"/>
  <c r="AQ12" i="10" s="1"/>
  <c r="AO10" i="10"/>
  <c r="AO12" i="10" s="1"/>
  <c r="AM10" i="10"/>
  <c r="Q10" i="10"/>
  <c r="Q12" i="10" s="1"/>
  <c r="O10" i="10"/>
  <c r="M10" i="10"/>
  <c r="M12" i="10" s="1"/>
  <c r="K10" i="10"/>
  <c r="AS9" i="10"/>
  <c r="O9" i="10"/>
  <c r="AS8" i="10"/>
  <c r="AQ8" i="10"/>
  <c r="AO8" i="10"/>
  <c r="AM8" i="10"/>
  <c r="AU8" i="10" s="1"/>
  <c r="Q8" i="10"/>
  <c r="O8" i="10"/>
  <c r="M8" i="10"/>
  <c r="K8" i="10"/>
  <c r="AS7" i="10"/>
  <c r="AQ7" i="10"/>
  <c r="AQ9" i="10" s="1"/>
  <c r="AO7" i="10"/>
  <c r="AO9" i="10" s="1"/>
  <c r="AM7" i="10"/>
  <c r="AM9" i="10" s="1"/>
  <c r="Q7" i="10"/>
  <c r="Q9" i="10" s="1"/>
  <c r="O7" i="10"/>
  <c r="M7" i="10"/>
  <c r="M9" i="10" s="1"/>
  <c r="K7" i="10"/>
  <c r="O6" i="10"/>
  <c r="AS5" i="10"/>
  <c r="AQ5" i="10"/>
  <c r="AO5" i="10"/>
  <c r="AM5" i="10"/>
  <c r="Q5" i="10"/>
  <c r="O5" i="10"/>
  <c r="M5" i="10"/>
  <c r="K5" i="10"/>
  <c r="AS4" i="10"/>
  <c r="AS6" i="10" s="1"/>
  <c r="AQ4" i="10"/>
  <c r="AQ6" i="10" s="1"/>
  <c r="AO4" i="10"/>
  <c r="AO6" i="10" s="1"/>
  <c r="AM4" i="10"/>
  <c r="Q4" i="10"/>
  <c r="Q6" i="10" s="1"/>
  <c r="O4" i="10"/>
  <c r="M4" i="10"/>
  <c r="M6" i="10" s="1"/>
  <c r="K4" i="10"/>
  <c r="K6" i="10" s="1"/>
  <c r="AM26" i="12" l="1"/>
  <c r="K27" i="12"/>
  <c r="AM28" i="12"/>
  <c r="AM27" i="12"/>
  <c r="K26" i="12"/>
  <c r="K28" i="12"/>
  <c r="K30" i="12"/>
  <c r="AK29" i="11"/>
  <c r="AX5" i="11"/>
  <c r="AM29" i="11"/>
  <c r="AU22" i="11"/>
  <c r="J29" i="11"/>
  <c r="I29" i="11"/>
  <c r="V5" i="11"/>
  <c r="AL26" i="11"/>
  <c r="AK26" i="11"/>
  <c r="J28" i="11"/>
  <c r="I28" i="11"/>
  <c r="J27" i="11"/>
  <c r="I27" i="11"/>
  <c r="J25" i="11"/>
  <c r="I25" i="11"/>
  <c r="V4" i="11"/>
  <c r="K22" i="11"/>
  <c r="AK27" i="11"/>
  <c r="AL27" i="11"/>
  <c r="AL25" i="11"/>
  <c r="AX4" i="11"/>
  <c r="AK25" i="11"/>
  <c r="AM25" i="11" s="1"/>
  <c r="S22" i="11"/>
  <c r="U33" i="11" s="1"/>
  <c r="AL28" i="11"/>
  <c r="AK28" i="11"/>
  <c r="J26" i="11"/>
  <c r="I26" i="11"/>
  <c r="K26" i="11" s="1"/>
  <c r="AM22" i="11"/>
  <c r="AM30" i="11"/>
  <c r="K30" i="11"/>
  <c r="E6" i="10"/>
  <c r="AG9" i="10"/>
  <c r="AL26" i="10" s="1"/>
  <c r="AU5" i="10"/>
  <c r="AU10" i="10"/>
  <c r="AU11" i="10"/>
  <c r="S5" i="10"/>
  <c r="S7" i="10"/>
  <c r="S8" i="10"/>
  <c r="K9" i="10"/>
  <c r="E9" i="10" s="1"/>
  <c r="J26" i="10" s="1"/>
  <c r="S10" i="10"/>
  <c r="S11" i="10"/>
  <c r="K12" i="10"/>
  <c r="S13" i="10"/>
  <c r="S14" i="10"/>
  <c r="K15" i="10"/>
  <c r="E15" i="10" s="1"/>
  <c r="AL29" i="10"/>
  <c r="AK29" i="10"/>
  <c r="AX5" i="10"/>
  <c r="AL30" i="10"/>
  <c r="AK30" i="10"/>
  <c r="J25" i="10"/>
  <c r="I25" i="10"/>
  <c r="I26" i="10"/>
  <c r="E12" i="10"/>
  <c r="AG15" i="10"/>
  <c r="AU7" i="10"/>
  <c r="S4" i="10"/>
  <c r="AU4" i="10"/>
  <c r="AM6" i="10"/>
  <c r="AG6" i="10" s="1"/>
  <c r="AM12" i="10"/>
  <c r="AG12" i="10" s="1"/>
  <c r="AU16" i="10"/>
  <c r="K18" i="10"/>
  <c r="E18" i="10" s="1"/>
  <c r="AU19" i="10"/>
  <c r="K21" i="10"/>
  <c r="E21" i="10" s="1"/>
  <c r="AU13" i="10"/>
  <c r="AJ30" i="9"/>
  <c r="H30" i="9"/>
  <c r="AJ29" i="9"/>
  <c r="H29" i="9"/>
  <c r="AJ28" i="9"/>
  <c r="H28" i="9"/>
  <c r="AY27" i="9"/>
  <c r="AJ27" i="9"/>
  <c r="W27" i="9"/>
  <c r="H27" i="9"/>
  <c r="AJ26" i="9"/>
  <c r="H26" i="9"/>
  <c r="AJ25" i="9"/>
  <c r="H25" i="9"/>
  <c r="AS20" i="9"/>
  <c r="AQ20" i="9"/>
  <c r="AO20" i="9"/>
  <c r="AM20" i="9"/>
  <c r="Q20" i="9"/>
  <c r="O20" i="9"/>
  <c r="M20" i="9"/>
  <c r="K20" i="9"/>
  <c r="S20" i="9" s="1"/>
  <c r="AS19" i="9"/>
  <c r="AS21" i="9" s="1"/>
  <c r="AQ19" i="9"/>
  <c r="AQ21" i="9" s="1"/>
  <c r="AO19" i="9"/>
  <c r="AM19" i="9"/>
  <c r="AM21" i="9" s="1"/>
  <c r="Q19" i="9"/>
  <c r="Q21" i="9" s="1"/>
  <c r="O19" i="9"/>
  <c r="O21" i="9" s="1"/>
  <c r="M19" i="9"/>
  <c r="M21" i="9" s="1"/>
  <c r="K19" i="9"/>
  <c r="S19" i="9" s="1"/>
  <c r="AS17" i="9"/>
  <c r="AQ17" i="9"/>
  <c r="AO17" i="9"/>
  <c r="AM17" i="9"/>
  <c r="Q17" i="9"/>
  <c r="O17" i="9"/>
  <c r="M17" i="9"/>
  <c r="K17" i="9"/>
  <c r="S17" i="9" s="1"/>
  <c r="AS16" i="9"/>
  <c r="AS18" i="9" s="1"/>
  <c r="AQ16" i="9"/>
  <c r="AQ18" i="9" s="1"/>
  <c r="AO16" i="9"/>
  <c r="AO18" i="9" s="1"/>
  <c r="AM16" i="9"/>
  <c r="AM18" i="9" s="1"/>
  <c r="Q16" i="9"/>
  <c r="Q18" i="9" s="1"/>
  <c r="O16" i="9"/>
  <c r="O18" i="9" s="1"/>
  <c r="M16" i="9"/>
  <c r="M18" i="9" s="1"/>
  <c r="K16" i="9"/>
  <c r="S16" i="9" s="1"/>
  <c r="AC15" i="9"/>
  <c r="AS14" i="9"/>
  <c r="AQ14" i="9"/>
  <c r="AO14" i="9"/>
  <c r="AM14" i="9"/>
  <c r="Q14" i="9"/>
  <c r="O14" i="9"/>
  <c r="M14" i="9"/>
  <c r="K14" i="9"/>
  <c r="AS13" i="9"/>
  <c r="AS15" i="9" s="1"/>
  <c r="AQ13" i="9"/>
  <c r="AQ15" i="9" s="1"/>
  <c r="AO13" i="9"/>
  <c r="AO15" i="9" s="1"/>
  <c r="AM13" i="9"/>
  <c r="AM15" i="9" s="1"/>
  <c r="Q13" i="9"/>
  <c r="Q15" i="9" s="1"/>
  <c r="O13" i="9"/>
  <c r="O15" i="9" s="1"/>
  <c r="M13" i="9"/>
  <c r="M15" i="9" s="1"/>
  <c r="K13" i="9"/>
  <c r="K15" i="9" s="1"/>
  <c r="AS11" i="9"/>
  <c r="AQ11" i="9"/>
  <c r="AO11" i="9"/>
  <c r="AM11" i="9"/>
  <c r="Q11" i="9"/>
  <c r="O11" i="9"/>
  <c r="M11" i="9"/>
  <c r="K11" i="9"/>
  <c r="AS10" i="9"/>
  <c r="AS12" i="9" s="1"/>
  <c r="AQ10" i="9"/>
  <c r="AQ12" i="9" s="1"/>
  <c r="AO10" i="9"/>
  <c r="AO12" i="9" s="1"/>
  <c r="AM10" i="9"/>
  <c r="Q10" i="9"/>
  <c r="Q12" i="9" s="1"/>
  <c r="O10" i="9"/>
  <c r="O12" i="9" s="1"/>
  <c r="M10" i="9"/>
  <c r="M12" i="9" s="1"/>
  <c r="K10" i="9"/>
  <c r="K12" i="9" s="1"/>
  <c r="AS8" i="9"/>
  <c r="AQ8" i="9"/>
  <c r="AO8" i="9"/>
  <c r="AM8" i="9"/>
  <c r="Q8" i="9"/>
  <c r="O8" i="9"/>
  <c r="M8" i="9"/>
  <c r="K8" i="9"/>
  <c r="AS7" i="9"/>
  <c r="AS9" i="9" s="1"/>
  <c r="AQ7" i="9"/>
  <c r="AQ9" i="9" s="1"/>
  <c r="AO7" i="9"/>
  <c r="AO9" i="9" s="1"/>
  <c r="AM7" i="9"/>
  <c r="Q7" i="9"/>
  <c r="Q9" i="9" s="1"/>
  <c r="O7" i="9"/>
  <c r="O9" i="9" s="1"/>
  <c r="M7" i="9"/>
  <c r="M9" i="9" s="1"/>
  <c r="K7" i="9"/>
  <c r="K9" i="9" s="1"/>
  <c r="AS5" i="9"/>
  <c r="AQ5" i="9"/>
  <c r="AO5" i="9"/>
  <c r="AM5" i="9"/>
  <c r="Q5" i="9"/>
  <c r="O5" i="9"/>
  <c r="M5" i="9"/>
  <c r="K5" i="9"/>
  <c r="AS4" i="9"/>
  <c r="AS6" i="9" s="1"/>
  <c r="AQ4" i="9"/>
  <c r="AQ6" i="9" s="1"/>
  <c r="AO4" i="9"/>
  <c r="AO6" i="9" s="1"/>
  <c r="AM4" i="9"/>
  <c r="Q4" i="9"/>
  <c r="Q6" i="9" s="1"/>
  <c r="O4" i="9"/>
  <c r="O6" i="9" s="1"/>
  <c r="M4" i="9"/>
  <c r="M6" i="9" s="1"/>
  <c r="K4" i="9"/>
  <c r="AM28" i="11" l="1"/>
  <c r="K29" i="11"/>
  <c r="AM27" i="11"/>
  <c r="K25" i="11"/>
  <c r="K27" i="11"/>
  <c r="K28" i="11"/>
  <c r="AM26" i="11"/>
  <c r="AK26" i="10"/>
  <c r="V4" i="10"/>
  <c r="AM26" i="10"/>
  <c r="AM30" i="10"/>
  <c r="K26" i="10"/>
  <c r="S22" i="10"/>
  <c r="U33" i="10" s="1"/>
  <c r="J30" i="10"/>
  <c r="I30" i="10"/>
  <c r="J29" i="10"/>
  <c r="I29" i="10"/>
  <c r="V5" i="10"/>
  <c r="AK27" i="10"/>
  <c r="AL27" i="10"/>
  <c r="AU22" i="10"/>
  <c r="AL28" i="10"/>
  <c r="AK28" i="10"/>
  <c r="AL25" i="10"/>
  <c r="AK25" i="10"/>
  <c r="AX4" i="10"/>
  <c r="J28" i="10"/>
  <c r="I28" i="10"/>
  <c r="J27" i="10"/>
  <c r="I27" i="10"/>
  <c r="K25" i="10"/>
  <c r="K22" i="10"/>
  <c r="AM29" i="10"/>
  <c r="AM22" i="10"/>
  <c r="AU14" i="9"/>
  <c r="AU11" i="9"/>
  <c r="AU10" i="9"/>
  <c r="AU8" i="9"/>
  <c r="AU7" i="9"/>
  <c r="AU5" i="9"/>
  <c r="AO21" i="9"/>
  <c r="AG18" i="9"/>
  <c r="AK29" i="9" s="1"/>
  <c r="AM29" i="9" s="1"/>
  <c r="AU17" i="9"/>
  <c r="AG21" i="9"/>
  <c r="AK30" i="9" s="1"/>
  <c r="AU20" i="9"/>
  <c r="S5" i="9"/>
  <c r="S8" i="9"/>
  <c r="S11" i="9"/>
  <c r="S14" i="9"/>
  <c r="AL29" i="9"/>
  <c r="AL30" i="9"/>
  <c r="E9" i="9"/>
  <c r="E12" i="9"/>
  <c r="E15" i="9"/>
  <c r="AG15" i="9"/>
  <c r="S4" i="9"/>
  <c r="AU4" i="9"/>
  <c r="AM6" i="9"/>
  <c r="AG6" i="9" s="1"/>
  <c r="S7" i="9"/>
  <c r="AM9" i="9"/>
  <c r="AG9" i="9" s="1"/>
  <c r="S10" i="9"/>
  <c r="AM12" i="9"/>
  <c r="AG12" i="9" s="1"/>
  <c r="S13" i="9"/>
  <c r="AU16" i="9"/>
  <c r="K18" i="9"/>
  <c r="E18" i="9" s="1"/>
  <c r="AU19" i="9"/>
  <c r="K21" i="9"/>
  <c r="E21" i="9" s="1"/>
  <c r="K6" i="9"/>
  <c r="E6" i="9" s="1"/>
  <c r="AU13" i="9"/>
  <c r="AJ30" i="8"/>
  <c r="H30" i="8"/>
  <c r="AJ29" i="8"/>
  <c r="H29" i="8"/>
  <c r="AJ28" i="8"/>
  <c r="H28" i="8"/>
  <c r="AY27" i="8"/>
  <c r="AJ27" i="8"/>
  <c r="W27" i="8"/>
  <c r="H27" i="8"/>
  <c r="AJ26" i="8"/>
  <c r="H26" i="8"/>
  <c r="AJ25" i="8"/>
  <c r="H25" i="8"/>
  <c r="AQ21" i="8"/>
  <c r="Q21" i="8"/>
  <c r="M21" i="8"/>
  <c r="AS20" i="8"/>
  <c r="AQ20" i="8"/>
  <c r="AO20" i="8"/>
  <c r="AM20" i="8"/>
  <c r="AU20" i="8" s="1"/>
  <c r="Q20" i="8"/>
  <c r="O20" i="8"/>
  <c r="M20" i="8"/>
  <c r="K20" i="8"/>
  <c r="S20" i="8" s="1"/>
  <c r="AS19" i="8"/>
  <c r="AS21" i="8" s="1"/>
  <c r="AQ19" i="8"/>
  <c r="AO19" i="8"/>
  <c r="AO21" i="8" s="1"/>
  <c r="AM19" i="8"/>
  <c r="AM21" i="8" s="1"/>
  <c r="Q19" i="8"/>
  <c r="O19" i="8"/>
  <c r="O21" i="8" s="1"/>
  <c r="M19" i="8"/>
  <c r="K19" i="8"/>
  <c r="K21" i="8" s="1"/>
  <c r="E21" i="8" s="1"/>
  <c r="AQ18" i="8"/>
  <c r="Q18" i="8"/>
  <c r="AS17" i="8"/>
  <c r="AQ17" i="8"/>
  <c r="AO17" i="8"/>
  <c r="AM17" i="8"/>
  <c r="Q17" i="8"/>
  <c r="O17" i="8"/>
  <c r="M17" i="8"/>
  <c r="K17" i="8"/>
  <c r="AS16" i="8"/>
  <c r="AQ16" i="8"/>
  <c r="AO16" i="8"/>
  <c r="AM16" i="8"/>
  <c r="Q16" i="8"/>
  <c r="O16" i="8"/>
  <c r="M16" i="8"/>
  <c r="M18" i="8" s="1"/>
  <c r="K16" i="8"/>
  <c r="AC15" i="8"/>
  <c r="O15" i="8"/>
  <c r="AS14" i="8"/>
  <c r="AQ14" i="8"/>
  <c r="AO14" i="8"/>
  <c r="AM14" i="8"/>
  <c r="Q14" i="8"/>
  <c r="O14" i="8"/>
  <c r="M14" i="8"/>
  <c r="K14" i="8"/>
  <c r="AS13" i="8"/>
  <c r="AS15" i="8" s="1"/>
  <c r="AQ13" i="8"/>
  <c r="AQ15" i="8" s="1"/>
  <c r="AO13" i="8"/>
  <c r="AO15" i="8" s="1"/>
  <c r="AM13" i="8"/>
  <c r="AM15" i="8" s="1"/>
  <c r="Q13" i="8"/>
  <c r="O13" i="8"/>
  <c r="M13" i="8"/>
  <c r="K13" i="8"/>
  <c r="AS12" i="8"/>
  <c r="O12" i="8"/>
  <c r="AS11" i="8"/>
  <c r="AQ11" i="8"/>
  <c r="AO11" i="8"/>
  <c r="AM11" i="8"/>
  <c r="Q11" i="8"/>
  <c r="O11" i="8"/>
  <c r="M11" i="8"/>
  <c r="K11" i="8"/>
  <c r="AS10" i="8"/>
  <c r="AQ10" i="8"/>
  <c r="AO10" i="8"/>
  <c r="AO12" i="8" s="1"/>
  <c r="AM10" i="8"/>
  <c r="Q10" i="8"/>
  <c r="Q12" i="8" s="1"/>
  <c r="O10" i="8"/>
  <c r="M10" i="8"/>
  <c r="M12" i="8" s="1"/>
  <c r="K10" i="8"/>
  <c r="K12" i="8" s="1"/>
  <c r="AS9" i="8"/>
  <c r="O9" i="8"/>
  <c r="AS8" i="8"/>
  <c r="AQ8" i="8"/>
  <c r="AO8" i="8"/>
  <c r="AM8" i="8"/>
  <c r="Q8" i="8"/>
  <c r="O8" i="8"/>
  <c r="M8" i="8"/>
  <c r="K8" i="8"/>
  <c r="AS7" i="8"/>
  <c r="AQ7" i="8"/>
  <c r="AQ9" i="8" s="1"/>
  <c r="AO7" i="8"/>
  <c r="AO9" i="8" s="1"/>
  <c r="AM7" i="8"/>
  <c r="AM9" i="8" s="1"/>
  <c r="Q7" i="8"/>
  <c r="O7" i="8"/>
  <c r="M7" i="8"/>
  <c r="K7" i="8"/>
  <c r="O6" i="8"/>
  <c r="AS5" i="8"/>
  <c r="AQ5" i="8"/>
  <c r="AO5" i="8"/>
  <c r="AM5" i="8"/>
  <c r="AU5" i="8" s="1"/>
  <c r="Q5" i="8"/>
  <c r="O5" i="8"/>
  <c r="M5" i="8"/>
  <c r="K5" i="8"/>
  <c r="AS4" i="8"/>
  <c r="AS6" i="8" s="1"/>
  <c r="AQ4" i="8"/>
  <c r="AQ6" i="8" s="1"/>
  <c r="AO4" i="8"/>
  <c r="AO6" i="8" s="1"/>
  <c r="AM4" i="8"/>
  <c r="AM6" i="8" s="1"/>
  <c r="Q4" i="8"/>
  <c r="Q6" i="8" s="1"/>
  <c r="O4" i="8"/>
  <c r="M4" i="8"/>
  <c r="M6" i="8" s="1"/>
  <c r="K4" i="8"/>
  <c r="K6" i="8" s="1"/>
  <c r="AM28" i="10" l="1"/>
  <c r="AM27" i="10"/>
  <c r="AM25" i="10"/>
  <c r="K30" i="10"/>
  <c r="K29" i="10"/>
  <c r="K27" i="10"/>
  <c r="K28" i="10"/>
  <c r="AX5" i="9"/>
  <c r="S22" i="9"/>
  <c r="U33" i="9" s="1"/>
  <c r="J25" i="9"/>
  <c r="V4" i="9"/>
  <c r="I25" i="9"/>
  <c r="K25" i="9" s="1"/>
  <c r="AK27" i="9"/>
  <c r="AL27" i="9"/>
  <c r="AL26" i="9"/>
  <c r="AK26" i="9"/>
  <c r="AL25" i="9"/>
  <c r="AX4" i="9"/>
  <c r="AK25" i="9"/>
  <c r="AM25" i="9" s="1"/>
  <c r="J28" i="9"/>
  <c r="I28" i="9"/>
  <c r="J26" i="9"/>
  <c r="I26" i="9"/>
  <c r="K22" i="9"/>
  <c r="J30" i="9"/>
  <c r="I30" i="9"/>
  <c r="J29" i="9"/>
  <c r="V5" i="9"/>
  <c r="I29" i="9"/>
  <c r="K29" i="9" s="1"/>
  <c r="AU22" i="9"/>
  <c r="AL28" i="9"/>
  <c r="AK28" i="9"/>
  <c r="J27" i="9"/>
  <c r="I27" i="9"/>
  <c r="AM22" i="9"/>
  <c r="AM30" i="9"/>
  <c r="AU16" i="8"/>
  <c r="AU14" i="8"/>
  <c r="AG15" i="8"/>
  <c r="AL28" i="8" s="1"/>
  <c r="AU8" i="8"/>
  <c r="S17" i="8"/>
  <c r="AG9" i="8"/>
  <c r="AL26" i="8" s="1"/>
  <c r="AM18" i="8"/>
  <c r="AU11" i="8"/>
  <c r="S7" i="8"/>
  <c r="K9" i="8"/>
  <c r="S11" i="8"/>
  <c r="S13" i="8"/>
  <c r="K15" i="8"/>
  <c r="K22" i="8" s="1"/>
  <c r="I30" i="8"/>
  <c r="J30" i="8"/>
  <c r="AK26" i="8"/>
  <c r="AK28" i="8"/>
  <c r="AU7" i="8"/>
  <c r="AU13" i="8"/>
  <c r="S19" i="8"/>
  <c r="S4" i="8"/>
  <c r="S5" i="8"/>
  <c r="E6" i="8"/>
  <c r="AG6" i="8"/>
  <c r="M9" i="8"/>
  <c r="Q9" i="8"/>
  <c r="S8" i="8"/>
  <c r="S10" i="8"/>
  <c r="AM12" i="8"/>
  <c r="AG12" i="8" s="1"/>
  <c r="AQ12" i="8"/>
  <c r="AU10" i="8"/>
  <c r="E12" i="8"/>
  <c r="M15" i="8"/>
  <c r="E15" i="8" s="1"/>
  <c r="Q15" i="8"/>
  <c r="S14" i="8"/>
  <c r="K18" i="8"/>
  <c r="O18" i="8"/>
  <c r="S16" i="8"/>
  <c r="AO18" i="8"/>
  <c r="AG18" i="8" s="1"/>
  <c r="AS18" i="8"/>
  <c r="AU17" i="8"/>
  <c r="AU19" i="8"/>
  <c r="AG21" i="8"/>
  <c r="AU4" i="8"/>
  <c r="H25" i="7"/>
  <c r="H26" i="7"/>
  <c r="H27" i="7"/>
  <c r="H28" i="7"/>
  <c r="H29" i="7"/>
  <c r="H30" i="7"/>
  <c r="AJ30" i="7"/>
  <c r="AJ29" i="7"/>
  <c r="AJ28" i="7"/>
  <c r="AY27" i="7"/>
  <c r="AJ27" i="7"/>
  <c r="W27" i="7"/>
  <c r="AJ26" i="7"/>
  <c r="AJ25" i="7"/>
  <c r="AS20" i="7"/>
  <c r="AQ20" i="7"/>
  <c r="AO20" i="7"/>
  <c r="AM20" i="7"/>
  <c r="AU20" i="7" s="1"/>
  <c r="Q20" i="7"/>
  <c r="O20" i="7"/>
  <c r="M20" i="7"/>
  <c r="K20" i="7"/>
  <c r="S20" i="7" s="1"/>
  <c r="AS19" i="7"/>
  <c r="AS21" i="7" s="1"/>
  <c r="AQ19" i="7"/>
  <c r="AQ21" i="7" s="1"/>
  <c r="AO19" i="7"/>
  <c r="AO21" i="7" s="1"/>
  <c r="AM19" i="7"/>
  <c r="AM21" i="7" s="1"/>
  <c r="AG21" i="7" s="1"/>
  <c r="Q19" i="7"/>
  <c r="Q21" i="7" s="1"/>
  <c r="O19" i="7"/>
  <c r="O21" i="7" s="1"/>
  <c r="M19" i="7"/>
  <c r="M21" i="7" s="1"/>
  <c r="K19" i="7"/>
  <c r="S19" i="7" s="1"/>
  <c r="AS17" i="7"/>
  <c r="AQ17" i="7"/>
  <c r="AO17" i="7"/>
  <c r="AM17" i="7"/>
  <c r="AU17" i="7" s="1"/>
  <c r="Q17" i="7"/>
  <c r="O17" i="7"/>
  <c r="M17" i="7"/>
  <c r="K17" i="7"/>
  <c r="S17" i="7" s="1"/>
  <c r="AS16" i="7"/>
  <c r="AS18" i="7" s="1"/>
  <c r="AQ16" i="7"/>
  <c r="AQ18" i="7" s="1"/>
  <c r="AO16" i="7"/>
  <c r="AO18" i="7" s="1"/>
  <c r="AM16" i="7"/>
  <c r="AM18" i="7" s="1"/>
  <c r="AG18" i="7" s="1"/>
  <c r="Q16" i="7"/>
  <c r="Q18" i="7" s="1"/>
  <c r="O16" i="7"/>
  <c r="O18" i="7" s="1"/>
  <c r="M16" i="7"/>
  <c r="M18" i="7" s="1"/>
  <c r="K16" i="7"/>
  <c r="S16" i="7" s="1"/>
  <c r="AC15" i="7"/>
  <c r="AS14" i="7"/>
  <c r="AQ14" i="7"/>
  <c r="AO14" i="7"/>
  <c r="AM14" i="7"/>
  <c r="Q14" i="7"/>
  <c r="O14" i="7"/>
  <c r="M14" i="7"/>
  <c r="K14" i="7"/>
  <c r="AS13" i="7"/>
  <c r="AS15" i="7" s="1"/>
  <c r="AQ13" i="7"/>
  <c r="AQ15" i="7" s="1"/>
  <c r="AO13" i="7"/>
  <c r="AO15" i="7" s="1"/>
  <c r="AM13" i="7"/>
  <c r="AM15" i="7" s="1"/>
  <c r="Q13" i="7"/>
  <c r="Q15" i="7" s="1"/>
  <c r="O13" i="7"/>
  <c r="O15" i="7" s="1"/>
  <c r="M13" i="7"/>
  <c r="K13" i="7"/>
  <c r="K15" i="7" s="1"/>
  <c r="AS11" i="7"/>
  <c r="AQ11" i="7"/>
  <c r="AO11" i="7"/>
  <c r="AM11" i="7"/>
  <c r="Q11" i="7"/>
  <c r="O11" i="7"/>
  <c r="M11" i="7"/>
  <c r="K11" i="7"/>
  <c r="AS10" i="7"/>
  <c r="AS12" i="7" s="1"/>
  <c r="AQ10" i="7"/>
  <c r="AQ12" i="7" s="1"/>
  <c r="AO10" i="7"/>
  <c r="AO12" i="7" s="1"/>
  <c r="AM10" i="7"/>
  <c r="Q10" i="7"/>
  <c r="Q12" i="7" s="1"/>
  <c r="O10" i="7"/>
  <c r="O12" i="7" s="1"/>
  <c r="M10" i="7"/>
  <c r="M12" i="7" s="1"/>
  <c r="K10" i="7"/>
  <c r="K12" i="7" s="1"/>
  <c r="AS8" i="7"/>
  <c r="AQ8" i="7"/>
  <c r="AO8" i="7"/>
  <c r="AM8" i="7"/>
  <c r="Q8" i="7"/>
  <c r="O8" i="7"/>
  <c r="M8" i="7"/>
  <c r="K8" i="7"/>
  <c r="AS7" i="7"/>
  <c r="AS9" i="7" s="1"/>
  <c r="AQ7" i="7"/>
  <c r="AQ9" i="7" s="1"/>
  <c r="AO7" i="7"/>
  <c r="AO9" i="7" s="1"/>
  <c r="AM7" i="7"/>
  <c r="Q7" i="7"/>
  <c r="Q9" i="7" s="1"/>
  <c r="O7" i="7"/>
  <c r="O9" i="7" s="1"/>
  <c r="M7" i="7"/>
  <c r="M9" i="7" s="1"/>
  <c r="K7" i="7"/>
  <c r="K9" i="7" s="1"/>
  <c r="AS5" i="7"/>
  <c r="AQ5" i="7"/>
  <c r="AO5" i="7"/>
  <c r="AM5" i="7"/>
  <c r="Q5" i="7"/>
  <c r="O5" i="7"/>
  <c r="M5" i="7"/>
  <c r="K5" i="7"/>
  <c r="AS4" i="7"/>
  <c r="AS6" i="7" s="1"/>
  <c r="AQ4" i="7"/>
  <c r="AQ6" i="7" s="1"/>
  <c r="AO4" i="7"/>
  <c r="AO6" i="7" s="1"/>
  <c r="AM4" i="7"/>
  <c r="Q4" i="7"/>
  <c r="Q6" i="7" s="1"/>
  <c r="O4" i="7"/>
  <c r="O6" i="7" s="1"/>
  <c r="M4" i="7"/>
  <c r="M6" i="7" s="1"/>
  <c r="K4" i="7"/>
  <c r="AM27" i="9" l="1"/>
  <c r="K28" i="9"/>
  <c r="K26" i="9"/>
  <c r="K27" i="9"/>
  <c r="AM28" i="9"/>
  <c r="K30" i="9"/>
  <c r="AM26" i="9"/>
  <c r="AU22" i="8"/>
  <c r="E9" i="8"/>
  <c r="J26" i="8" s="1"/>
  <c r="AK29" i="8"/>
  <c r="AL29" i="8"/>
  <c r="AX5" i="8"/>
  <c r="I28" i="8"/>
  <c r="J28" i="8"/>
  <c r="I26" i="8"/>
  <c r="AK30" i="8"/>
  <c r="AL30" i="8"/>
  <c r="AL27" i="8"/>
  <c r="AK27" i="8"/>
  <c r="I25" i="8"/>
  <c r="J25" i="8"/>
  <c r="V4" i="8"/>
  <c r="S22" i="8"/>
  <c r="U33" i="8" s="1"/>
  <c r="E18" i="8"/>
  <c r="I27" i="8"/>
  <c r="J27" i="8"/>
  <c r="AK25" i="8"/>
  <c r="AL25" i="8"/>
  <c r="AX4" i="8"/>
  <c r="AM22" i="8"/>
  <c r="AM28" i="8"/>
  <c r="AM26" i="8"/>
  <c r="K30" i="8"/>
  <c r="M15" i="7"/>
  <c r="AU5" i="7"/>
  <c r="AU7" i="7"/>
  <c r="AU8" i="7"/>
  <c r="AU10" i="7"/>
  <c r="AU11" i="7"/>
  <c r="AU14" i="7"/>
  <c r="S5" i="7"/>
  <c r="S8" i="7"/>
  <c r="S11" i="7"/>
  <c r="S14" i="7"/>
  <c r="AL29" i="7"/>
  <c r="AX5" i="7"/>
  <c r="AK29" i="7"/>
  <c r="AM29" i="7" s="1"/>
  <c r="AL30" i="7"/>
  <c r="AK30" i="7"/>
  <c r="AM30" i="7" s="1"/>
  <c r="E9" i="7"/>
  <c r="E12" i="7"/>
  <c r="E15" i="7"/>
  <c r="AG15" i="7"/>
  <c r="S4" i="7"/>
  <c r="AU4" i="7"/>
  <c r="AM6" i="7"/>
  <c r="AG6" i="7" s="1"/>
  <c r="S7" i="7"/>
  <c r="AM9" i="7"/>
  <c r="AG9" i="7" s="1"/>
  <c r="S10" i="7"/>
  <c r="AM12" i="7"/>
  <c r="AG12" i="7" s="1"/>
  <c r="S13" i="7"/>
  <c r="AU16" i="7"/>
  <c r="K18" i="7"/>
  <c r="E18" i="7" s="1"/>
  <c r="AU19" i="7"/>
  <c r="K21" i="7"/>
  <c r="E21" i="7" s="1"/>
  <c r="K6" i="7"/>
  <c r="E6" i="7" s="1"/>
  <c r="AU13" i="7"/>
  <c r="AJ30" i="6"/>
  <c r="H30" i="6"/>
  <c r="AJ29" i="6"/>
  <c r="H29" i="6"/>
  <c r="AJ28" i="6"/>
  <c r="H28" i="6"/>
  <c r="AY27" i="6"/>
  <c r="AJ27" i="6"/>
  <c r="W27" i="6"/>
  <c r="H27" i="6"/>
  <c r="AJ26" i="6"/>
  <c r="H26" i="6"/>
  <c r="AJ25" i="6"/>
  <c r="H25" i="6"/>
  <c r="AS20" i="6"/>
  <c r="AQ20" i="6"/>
  <c r="AO20" i="6"/>
  <c r="AM20" i="6"/>
  <c r="AU20" i="6" s="1"/>
  <c r="Q20" i="6"/>
  <c r="O20" i="6"/>
  <c r="M20" i="6"/>
  <c r="K20" i="6"/>
  <c r="S20" i="6" s="1"/>
  <c r="AS19" i="6"/>
  <c r="AS21" i="6" s="1"/>
  <c r="AQ19" i="6"/>
  <c r="AQ21" i="6" s="1"/>
  <c r="AO19" i="6"/>
  <c r="AO21" i="6" s="1"/>
  <c r="AM19" i="6"/>
  <c r="AM21" i="6" s="1"/>
  <c r="Q19" i="6"/>
  <c r="Q21" i="6" s="1"/>
  <c r="O19" i="6"/>
  <c r="O21" i="6" s="1"/>
  <c r="M19" i="6"/>
  <c r="M21" i="6" s="1"/>
  <c r="K19" i="6"/>
  <c r="S19" i="6" s="1"/>
  <c r="AS17" i="6"/>
  <c r="AQ17" i="6"/>
  <c r="AO17" i="6"/>
  <c r="AM17" i="6"/>
  <c r="AU17" i="6" s="1"/>
  <c r="Q17" i="6"/>
  <c r="O17" i="6"/>
  <c r="M17" i="6"/>
  <c r="K17" i="6"/>
  <c r="S17" i="6" s="1"/>
  <c r="AS16" i="6"/>
  <c r="AS18" i="6" s="1"/>
  <c r="AQ16" i="6"/>
  <c r="AQ18" i="6" s="1"/>
  <c r="AO16" i="6"/>
  <c r="AO18" i="6" s="1"/>
  <c r="AM16" i="6"/>
  <c r="AM18" i="6" s="1"/>
  <c r="AG18" i="6" s="1"/>
  <c r="Q16" i="6"/>
  <c r="Q18" i="6" s="1"/>
  <c r="O16" i="6"/>
  <c r="O18" i="6" s="1"/>
  <c r="M16" i="6"/>
  <c r="M18" i="6" s="1"/>
  <c r="K16" i="6"/>
  <c r="S16" i="6" s="1"/>
  <c r="AC15" i="6"/>
  <c r="AS14" i="6"/>
  <c r="AQ14" i="6"/>
  <c r="AO14" i="6"/>
  <c r="AM14" i="6"/>
  <c r="Q14" i="6"/>
  <c r="O14" i="6"/>
  <c r="M14" i="6"/>
  <c r="K14" i="6"/>
  <c r="AS13" i="6"/>
  <c r="AS15" i="6" s="1"/>
  <c r="AQ13" i="6"/>
  <c r="AQ15" i="6" s="1"/>
  <c r="AO13" i="6"/>
  <c r="AO15" i="6" s="1"/>
  <c r="AM13" i="6"/>
  <c r="AM15" i="6" s="1"/>
  <c r="Q13" i="6"/>
  <c r="Q15" i="6" s="1"/>
  <c r="O13" i="6"/>
  <c r="O15" i="6" s="1"/>
  <c r="M13" i="6"/>
  <c r="M15" i="6" s="1"/>
  <c r="K13" i="6"/>
  <c r="K15" i="6" s="1"/>
  <c r="AS11" i="6"/>
  <c r="AQ11" i="6"/>
  <c r="AO11" i="6"/>
  <c r="AM11" i="6"/>
  <c r="Q11" i="6"/>
  <c r="O11" i="6"/>
  <c r="M11" i="6"/>
  <c r="K11" i="6"/>
  <c r="AS10" i="6"/>
  <c r="AS12" i="6" s="1"/>
  <c r="AQ10" i="6"/>
  <c r="AQ12" i="6" s="1"/>
  <c r="AO10" i="6"/>
  <c r="AO12" i="6" s="1"/>
  <c r="AM10" i="6"/>
  <c r="Q10" i="6"/>
  <c r="Q12" i="6" s="1"/>
  <c r="O10" i="6"/>
  <c r="O12" i="6" s="1"/>
  <c r="M10" i="6"/>
  <c r="M12" i="6" s="1"/>
  <c r="K10" i="6"/>
  <c r="K12" i="6" s="1"/>
  <c r="AS8" i="6"/>
  <c r="AQ8" i="6"/>
  <c r="AO8" i="6"/>
  <c r="AM8" i="6"/>
  <c r="Q8" i="6"/>
  <c r="O8" i="6"/>
  <c r="M8" i="6"/>
  <c r="K8" i="6"/>
  <c r="AS7" i="6"/>
  <c r="AS9" i="6" s="1"/>
  <c r="AQ7" i="6"/>
  <c r="AQ9" i="6" s="1"/>
  <c r="AO7" i="6"/>
  <c r="AO9" i="6" s="1"/>
  <c r="AM7" i="6"/>
  <c r="Q7" i="6"/>
  <c r="Q9" i="6" s="1"/>
  <c r="O7" i="6"/>
  <c r="O9" i="6" s="1"/>
  <c r="M7" i="6"/>
  <c r="M9" i="6" s="1"/>
  <c r="K7" i="6"/>
  <c r="K9" i="6" s="1"/>
  <c r="AS5" i="6"/>
  <c r="AQ5" i="6"/>
  <c r="AO5" i="6"/>
  <c r="AM5" i="6"/>
  <c r="Q5" i="6"/>
  <c r="O5" i="6"/>
  <c r="M5" i="6"/>
  <c r="K5" i="6"/>
  <c r="AS4" i="6"/>
  <c r="AS6" i="6" s="1"/>
  <c r="AQ4" i="6"/>
  <c r="AQ6" i="6" s="1"/>
  <c r="AO4" i="6"/>
  <c r="AO6" i="6" s="1"/>
  <c r="AM4" i="6"/>
  <c r="Q4" i="6"/>
  <c r="Q6" i="6" s="1"/>
  <c r="O4" i="6"/>
  <c r="O6" i="6" s="1"/>
  <c r="M4" i="6"/>
  <c r="M6" i="6" s="1"/>
  <c r="K4" i="6"/>
  <c r="AM30" i="8" l="1"/>
  <c r="K25" i="8"/>
  <c r="K26" i="8"/>
  <c r="K28" i="8"/>
  <c r="I29" i="8"/>
  <c r="J29" i="8"/>
  <c r="V5" i="8"/>
  <c r="AM25" i="8"/>
  <c r="K27" i="8"/>
  <c r="AM27" i="8"/>
  <c r="AM29" i="8"/>
  <c r="S22" i="7"/>
  <c r="U33" i="7" s="1"/>
  <c r="AK27" i="7"/>
  <c r="AL27" i="7"/>
  <c r="J28" i="7"/>
  <c r="I28" i="7"/>
  <c r="J26" i="7"/>
  <c r="I26" i="7"/>
  <c r="J25" i="7"/>
  <c r="V4" i="7"/>
  <c r="I25" i="7"/>
  <c r="K25" i="7" s="1"/>
  <c r="AL26" i="7"/>
  <c r="AK26" i="7"/>
  <c r="AL25" i="7"/>
  <c r="AX4" i="7"/>
  <c r="AK25" i="7"/>
  <c r="AM25" i="7" s="1"/>
  <c r="J30" i="7"/>
  <c r="I30" i="7"/>
  <c r="J29" i="7"/>
  <c r="V5" i="7"/>
  <c r="I29" i="7"/>
  <c r="K29" i="7" s="1"/>
  <c r="AU22" i="7"/>
  <c r="AL28" i="7"/>
  <c r="AK28" i="7"/>
  <c r="J27" i="7"/>
  <c r="I27" i="7"/>
  <c r="AM22" i="7"/>
  <c r="K22" i="7"/>
  <c r="AU14" i="6"/>
  <c r="AG21" i="6"/>
  <c r="AK30" i="6" s="1"/>
  <c r="AU11" i="6"/>
  <c r="AU10" i="6"/>
  <c r="AU8" i="6"/>
  <c r="AU7" i="6"/>
  <c r="AU5" i="6"/>
  <c r="S5" i="6"/>
  <c r="E9" i="6"/>
  <c r="J26" i="6" s="1"/>
  <c r="S8" i="6"/>
  <c r="S11" i="6"/>
  <c r="S14" i="6"/>
  <c r="AL29" i="6"/>
  <c r="AX5" i="6"/>
  <c r="AK29" i="6"/>
  <c r="AM29" i="6" s="1"/>
  <c r="AL30" i="6"/>
  <c r="E12" i="6"/>
  <c r="E15" i="6"/>
  <c r="AG15" i="6"/>
  <c r="AU4" i="6"/>
  <c r="AM6" i="6"/>
  <c r="AG6" i="6" s="1"/>
  <c r="S7" i="6"/>
  <c r="AM9" i="6"/>
  <c r="AG9" i="6" s="1"/>
  <c r="S10" i="6"/>
  <c r="AM12" i="6"/>
  <c r="AG12" i="6" s="1"/>
  <c r="S13" i="6"/>
  <c r="AU16" i="6"/>
  <c r="K18" i="6"/>
  <c r="E18" i="6" s="1"/>
  <c r="AU19" i="6"/>
  <c r="K21" i="6"/>
  <c r="E21" i="6" s="1"/>
  <c r="S4" i="6"/>
  <c r="K6" i="6"/>
  <c r="E6" i="6" s="1"/>
  <c r="AU13" i="6"/>
  <c r="AJ30" i="5"/>
  <c r="H30" i="5"/>
  <c r="AJ29" i="5"/>
  <c r="H29" i="5"/>
  <c r="AJ28" i="5"/>
  <c r="H28" i="5"/>
  <c r="AY27" i="5"/>
  <c r="AJ27" i="5"/>
  <c r="W27" i="5"/>
  <c r="H27" i="5"/>
  <c r="AJ26" i="5"/>
  <c r="H26" i="5"/>
  <c r="AJ25" i="5"/>
  <c r="H25" i="5"/>
  <c r="AS21" i="5"/>
  <c r="AS20" i="5"/>
  <c r="AQ20" i="5"/>
  <c r="AQ21" i="5" s="1"/>
  <c r="AO20" i="5"/>
  <c r="AM20" i="5"/>
  <c r="Q20" i="5"/>
  <c r="Q21" i="5" s="1"/>
  <c r="O20" i="5"/>
  <c r="M20" i="5"/>
  <c r="K20" i="5"/>
  <c r="S20" i="5" s="1"/>
  <c r="AS19" i="5"/>
  <c r="AQ19" i="5"/>
  <c r="AO19" i="5"/>
  <c r="AO21" i="5" s="1"/>
  <c r="AM19" i="5"/>
  <c r="AM21" i="5" s="1"/>
  <c r="Q19" i="5"/>
  <c r="O19" i="5"/>
  <c r="O21" i="5" s="1"/>
  <c r="M19" i="5"/>
  <c r="M21" i="5" s="1"/>
  <c r="K19" i="5"/>
  <c r="S19" i="5" s="1"/>
  <c r="O18" i="5"/>
  <c r="AS17" i="5"/>
  <c r="AQ17" i="5"/>
  <c r="AO17" i="5"/>
  <c r="AM17" i="5"/>
  <c r="Q17" i="5"/>
  <c r="O17" i="5"/>
  <c r="M17" i="5"/>
  <c r="K17" i="5"/>
  <c r="AS16" i="5"/>
  <c r="AS18" i="5" s="1"/>
  <c r="AQ16" i="5"/>
  <c r="AQ18" i="5" s="1"/>
  <c r="AO16" i="5"/>
  <c r="AM16" i="5"/>
  <c r="Q16" i="5"/>
  <c r="Q18" i="5" s="1"/>
  <c r="O16" i="5"/>
  <c r="M16" i="5"/>
  <c r="K16" i="5"/>
  <c r="AC15" i="5"/>
  <c r="M15" i="5"/>
  <c r="AS14" i="5"/>
  <c r="AS15" i="5" s="1"/>
  <c r="AQ14" i="5"/>
  <c r="AO14" i="5"/>
  <c r="AM14" i="5"/>
  <c r="Q14" i="5"/>
  <c r="O14" i="5"/>
  <c r="M14" i="5"/>
  <c r="K14" i="5"/>
  <c r="AS13" i="5"/>
  <c r="AQ13" i="5"/>
  <c r="AQ15" i="5" s="1"/>
  <c r="AO13" i="5"/>
  <c r="AO15" i="5" s="1"/>
  <c r="AM13" i="5"/>
  <c r="AU13" i="5" s="1"/>
  <c r="Q13" i="5"/>
  <c r="Q15" i="5" s="1"/>
  <c r="O13" i="5"/>
  <c r="O15" i="5" s="1"/>
  <c r="M13" i="5"/>
  <c r="K13" i="5"/>
  <c r="S13" i="5" s="1"/>
  <c r="AQ12" i="5"/>
  <c r="Q12" i="5"/>
  <c r="AS11" i="5"/>
  <c r="AQ11" i="5"/>
  <c r="AO11" i="5"/>
  <c r="AM11" i="5"/>
  <c r="Q11" i="5"/>
  <c r="O11" i="5"/>
  <c r="O12" i="5" s="1"/>
  <c r="M11" i="5"/>
  <c r="K11" i="5"/>
  <c r="AS10" i="5"/>
  <c r="AS12" i="5" s="1"/>
  <c r="AQ10" i="5"/>
  <c r="AO10" i="5"/>
  <c r="AM10" i="5"/>
  <c r="AM12" i="5" s="1"/>
  <c r="Q10" i="5"/>
  <c r="O10" i="5"/>
  <c r="M10" i="5"/>
  <c r="K10" i="5"/>
  <c r="K12" i="5" s="1"/>
  <c r="M9" i="5"/>
  <c r="AS8" i="5"/>
  <c r="AS9" i="5" s="1"/>
  <c r="AQ8" i="5"/>
  <c r="AO8" i="5"/>
  <c r="AM8" i="5"/>
  <c r="AU8" i="5" s="1"/>
  <c r="Q8" i="5"/>
  <c r="O8" i="5"/>
  <c r="M8" i="5"/>
  <c r="K8" i="5"/>
  <c r="AS7" i="5"/>
  <c r="AQ7" i="5"/>
  <c r="AQ9" i="5" s="1"/>
  <c r="AO7" i="5"/>
  <c r="AO9" i="5" s="1"/>
  <c r="AM7" i="5"/>
  <c r="AU7" i="5" s="1"/>
  <c r="Q7" i="5"/>
  <c r="Q9" i="5" s="1"/>
  <c r="O7" i="5"/>
  <c r="O9" i="5" s="1"/>
  <c r="M7" i="5"/>
  <c r="K7" i="5"/>
  <c r="S7" i="5" s="1"/>
  <c r="Q6" i="5"/>
  <c r="O6" i="5"/>
  <c r="AS5" i="5"/>
  <c r="AQ5" i="5"/>
  <c r="AO5" i="5"/>
  <c r="AM5" i="5"/>
  <c r="Q5" i="5"/>
  <c r="O5" i="5"/>
  <c r="M5" i="5"/>
  <c r="K5" i="5"/>
  <c r="S5" i="5" s="1"/>
  <c r="AS4" i="5"/>
  <c r="AS6" i="5" s="1"/>
  <c r="AQ4" i="5"/>
  <c r="AQ6" i="5" s="1"/>
  <c r="AO4" i="5"/>
  <c r="AM4" i="5"/>
  <c r="Q4" i="5"/>
  <c r="O4" i="5"/>
  <c r="M4" i="5"/>
  <c r="K4" i="5"/>
  <c r="S4" i="5" s="1"/>
  <c r="K29" i="8" l="1"/>
  <c r="AM28" i="7"/>
  <c r="K30" i="7"/>
  <c r="K28" i="7"/>
  <c r="K27" i="7"/>
  <c r="K26" i="7"/>
  <c r="AM26" i="7"/>
  <c r="AM27" i="7"/>
  <c r="I26" i="6"/>
  <c r="K26" i="6" s="1"/>
  <c r="S22" i="6"/>
  <c r="U33" i="6" s="1"/>
  <c r="AK27" i="6"/>
  <c r="AL27" i="6"/>
  <c r="AL26" i="6"/>
  <c r="AK26" i="6"/>
  <c r="AM26" i="6" s="1"/>
  <c r="AL25" i="6"/>
  <c r="AX4" i="6"/>
  <c r="AK25" i="6"/>
  <c r="AM25" i="6" s="1"/>
  <c r="AL28" i="6"/>
  <c r="AK28" i="6"/>
  <c r="J27" i="6"/>
  <c r="I27" i="6"/>
  <c r="AM22" i="6"/>
  <c r="J25" i="6"/>
  <c r="V4" i="6"/>
  <c r="I25" i="6"/>
  <c r="K25" i="6" s="1"/>
  <c r="J30" i="6"/>
  <c r="I30" i="6"/>
  <c r="J29" i="6"/>
  <c r="V5" i="6"/>
  <c r="I29" i="6"/>
  <c r="K29" i="6" s="1"/>
  <c r="AU22" i="6"/>
  <c r="J28" i="6"/>
  <c r="I28" i="6"/>
  <c r="AM30" i="6"/>
  <c r="K22" i="6"/>
  <c r="AU5" i="5"/>
  <c r="AO12" i="5"/>
  <c r="AG21" i="5"/>
  <c r="AU20" i="5"/>
  <c r="AO18" i="5"/>
  <c r="AU16" i="5"/>
  <c r="AU11" i="5"/>
  <c r="AO6" i="5"/>
  <c r="S16" i="5"/>
  <c r="K15" i="5"/>
  <c r="E15" i="5" s="1"/>
  <c r="M12" i="5"/>
  <c r="S11" i="5"/>
  <c r="M6" i="5"/>
  <c r="S17" i="5"/>
  <c r="M18" i="5"/>
  <c r="AM15" i="5"/>
  <c r="AG15" i="5" s="1"/>
  <c r="AL28" i="5" s="1"/>
  <c r="AM9" i="5"/>
  <c r="AM18" i="5"/>
  <c r="K21" i="5"/>
  <c r="E21" i="5" s="1"/>
  <c r="J30" i="5" s="1"/>
  <c r="K9" i="5"/>
  <c r="E9" i="5" s="1"/>
  <c r="J26" i="5" s="1"/>
  <c r="J28" i="5"/>
  <c r="I28" i="5"/>
  <c r="AK30" i="5"/>
  <c r="AL30" i="5"/>
  <c r="AG9" i="5"/>
  <c r="E12" i="5"/>
  <c r="AG12" i="5"/>
  <c r="AG18" i="5"/>
  <c r="S14" i="5"/>
  <c r="AU17" i="5"/>
  <c r="K6" i="5"/>
  <c r="E6" i="5" s="1"/>
  <c r="AU10" i="5"/>
  <c r="AU14" i="5"/>
  <c r="AU4" i="5"/>
  <c r="AM6" i="5"/>
  <c r="K18" i="5"/>
  <c r="S8" i="5"/>
  <c r="S10" i="5"/>
  <c r="AU19" i="5"/>
  <c r="AJ30" i="4"/>
  <c r="H30" i="4"/>
  <c r="AJ29" i="4"/>
  <c r="H29" i="4"/>
  <c r="AJ28" i="4"/>
  <c r="H28" i="4"/>
  <c r="AY27" i="4"/>
  <c r="AJ27" i="4"/>
  <c r="W27" i="4"/>
  <c r="H27" i="4"/>
  <c r="AJ26" i="4"/>
  <c r="H26" i="4"/>
  <c r="AJ25" i="4"/>
  <c r="H25" i="4"/>
  <c r="AS20" i="4"/>
  <c r="AQ20" i="4"/>
  <c r="AO20" i="4"/>
  <c r="AM20" i="4"/>
  <c r="AU20" i="4" s="1"/>
  <c r="Q20" i="4"/>
  <c r="O20" i="4"/>
  <c r="M20" i="4"/>
  <c r="K20" i="4"/>
  <c r="S20" i="4" s="1"/>
  <c r="AS19" i="4"/>
  <c r="AS21" i="4" s="1"/>
  <c r="AQ19" i="4"/>
  <c r="AQ21" i="4" s="1"/>
  <c r="AO19" i="4"/>
  <c r="AO21" i="4" s="1"/>
  <c r="AM19" i="4"/>
  <c r="AM21" i="4" s="1"/>
  <c r="AG21" i="4" s="1"/>
  <c r="Q19" i="4"/>
  <c r="Q21" i="4" s="1"/>
  <c r="O19" i="4"/>
  <c r="O21" i="4" s="1"/>
  <c r="M19" i="4"/>
  <c r="M21" i="4" s="1"/>
  <c r="K19" i="4"/>
  <c r="S19" i="4" s="1"/>
  <c r="AS17" i="4"/>
  <c r="AQ17" i="4"/>
  <c r="AO17" i="4"/>
  <c r="AM17" i="4"/>
  <c r="AU17" i="4" s="1"/>
  <c r="Q17" i="4"/>
  <c r="O17" i="4"/>
  <c r="M17" i="4"/>
  <c r="K17" i="4"/>
  <c r="S17" i="4" s="1"/>
  <c r="AS16" i="4"/>
  <c r="AS18" i="4" s="1"/>
  <c r="AQ16" i="4"/>
  <c r="AQ18" i="4" s="1"/>
  <c r="AO16" i="4"/>
  <c r="AO18" i="4" s="1"/>
  <c r="AM16" i="4"/>
  <c r="AM18" i="4" s="1"/>
  <c r="AG18" i="4" s="1"/>
  <c r="Q16" i="4"/>
  <c r="Q18" i="4" s="1"/>
  <c r="O16" i="4"/>
  <c r="O18" i="4" s="1"/>
  <c r="M16" i="4"/>
  <c r="M18" i="4" s="1"/>
  <c r="K16" i="4"/>
  <c r="S16" i="4" s="1"/>
  <c r="AC15" i="4"/>
  <c r="AS14" i="4"/>
  <c r="AQ14" i="4"/>
  <c r="AO14" i="4"/>
  <c r="AM14" i="4"/>
  <c r="Q14" i="4"/>
  <c r="O14" i="4"/>
  <c r="M14" i="4"/>
  <c r="K14" i="4"/>
  <c r="AS13" i="4"/>
  <c r="AS15" i="4" s="1"/>
  <c r="AQ13" i="4"/>
  <c r="AQ15" i="4" s="1"/>
  <c r="AO13" i="4"/>
  <c r="AO15" i="4" s="1"/>
  <c r="AM13" i="4"/>
  <c r="AM15" i="4" s="1"/>
  <c r="Q13" i="4"/>
  <c r="Q15" i="4" s="1"/>
  <c r="O13" i="4"/>
  <c r="O15" i="4" s="1"/>
  <c r="M13" i="4"/>
  <c r="M15" i="4" s="1"/>
  <c r="K13" i="4"/>
  <c r="K15" i="4" s="1"/>
  <c r="AS11" i="4"/>
  <c r="AQ11" i="4"/>
  <c r="AO11" i="4"/>
  <c r="AM11" i="4"/>
  <c r="Q11" i="4"/>
  <c r="O11" i="4"/>
  <c r="M11" i="4"/>
  <c r="K11" i="4"/>
  <c r="AS10" i="4"/>
  <c r="AS12" i="4" s="1"/>
  <c r="AQ10" i="4"/>
  <c r="AQ12" i="4" s="1"/>
  <c r="AO10" i="4"/>
  <c r="AO12" i="4" s="1"/>
  <c r="AM10" i="4"/>
  <c r="Q10" i="4"/>
  <c r="Q12" i="4" s="1"/>
  <c r="O10" i="4"/>
  <c r="O12" i="4" s="1"/>
  <c r="M10" i="4"/>
  <c r="M12" i="4" s="1"/>
  <c r="K10" i="4"/>
  <c r="K12" i="4" s="1"/>
  <c r="AS8" i="4"/>
  <c r="AQ8" i="4"/>
  <c r="AO8" i="4"/>
  <c r="AM8" i="4"/>
  <c r="Q8" i="4"/>
  <c r="O8" i="4"/>
  <c r="M8" i="4"/>
  <c r="K8" i="4"/>
  <c r="AS7" i="4"/>
  <c r="AS9" i="4" s="1"/>
  <c r="AQ7" i="4"/>
  <c r="AQ9" i="4" s="1"/>
  <c r="AO7" i="4"/>
  <c r="AO9" i="4" s="1"/>
  <c r="AM7" i="4"/>
  <c r="Q7" i="4"/>
  <c r="Q9" i="4" s="1"/>
  <c r="O7" i="4"/>
  <c r="O9" i="4" s="1"/>
  <c r="M7" i="4"/>
  <c r="M9" i="4" s="1"/>
  <c r="K7" i="4"/>
  <c r="K9" i="4" s="1"/>
  <c r="O6" i="4"/>
  <c r="AS5" i="4"/>
  <c r="AQ5" i="4"/>
  <c r="AO5" i="4"/>
  <c r="AM5" i="4"/>
  <c r="AU5" i="4" s="1"/>
  <c r="Q5" i="4"/>
  <c r="O5" i="4"/>
  <c r="M5" i="4"/>
  <c r="K5" i="4"/>
  <c r="AS4" i="4"/>
  <c r="AS6" i="4" s="1"/>
  <c r="AQ4" i="4"/>
  <c r="AQ6" i="4" s="1"/>
  <c r="AO4" i="4"/>
  <c r="AO6" i="4" s="1"/>
  <c r="AM4" i="4"/>
  <c r="Q4" i="4"/>
  <c r="Q6" i="4" s="1"/>
  <c r="O4" i="4"/>
  <c r="M4" i="4"/>
  <c r="M6" i="4" s="1"/>
  <c r="K4" i="4"/>
  <c r="K6" i="4" s="1"/>
  <c r="K28" i="6" l="1"/>
  <c r="K30" i="6"/>
  <c r="K27" i="6"/>
  <c r="AM28" i="6"/>
  <c r="AM27" i="6"/>
  <c r="AG6" i="5"/>
  <c r="AK25" i="5" s="1"/>
  <c r="AU22" i="5"/>
  <c r="AK28" i="5"/>
  <c r="E18" i="5"/>
  <c r="S22" i="5"/>
  <c r="U33" i="5" s="1"/>
  <c r="I26" i="5"/>
  <c r="K26" i="5" s="1"/>
  <c r="I30" i="5"/>
  <c r="K30" i="5" s="1"/>
  <c r="AM22" i="5"/>
  <c r="AM30" i="5"/>
  <c r="J25" i="5"/>
  <c r="V4" i="5"/>
  <c r="I25" i="5"/>
  <c r="AK27" i="5"/>
  <c r="AL27" i="5"/>
  <c r="AL26" i="5"/>
  <c r="AK26" i="5"/>
  <c r="K22" i="5"/>
  <c r="J27" i="5"/>
  <c r="I27" i="5"/>
  <c r="J29" i="5"/>
  <c r="V5" i="5"/>
  <c r="I29" i="5"/>
  <c r="AM28" i="5"/>
  <c r="AL25" i="5"/>
  <c r="AX4" i="5"/>
  <c r="AX5" i="5"/>
  <c r="AK29" i="5"/>
  <c r="AL29" i="5"/>
  <c r="K28" i="5"/>
  <c r="AU7" i="4"/>
  <c r="AU8" i="4"/>
  <c r="AU10" i="4"/>
  <c r="AU11" i="4"/>
  <c r="AU14" i="4"/>
  <c r="S5" i="4"/>
  <c r="S8" i="4"/>
  <c r="S11" i="4"/>
  <c r="S14" i="4"/>
  <c r="AL29" i="4"/>
  <c r="AX5" i="4"/>
  <c r="AK29" i="4"/>
  <c r="AM29" i="4" s="1"/>
  <c r="AL30" i="4"/>
  <c r="AK30" i="4"/>
  <c r="E6" i="4"/>
  <c r="E9" i="4"/>
  <c r="E12" i="4"/>
  <c r="E15" i="4"/>
  <c r="AG15" i="4"/>
  <c r="S4" i="4"/>
  <c r="AU4" i="4"/>
  <c r="AM6" i="4"/>
  <c r="AG6" i="4" s="1"/>
  <c r="S7" i="4"/>
  <c r="AM9" i="4"/>
  <c r="AG9" i="4" s="1"/>
  <c r="S10" i="4"/>
  <c r="AM12" i="4"/>
  <c r="AG12" i="4" s="1"/>
  <c r="S13" i="4"/>
  <c r="AU16" i="4"/>
  <c r="K18" i="4"/>
  <c r="E18" i="4" s="1"/>
  <c r="AU19" i="4"/>
  <c r="K21" i="4"/>
  <c r="E21" i="4" s="1"/>
  <c r="AU13" i="4"/>
  <c r="AJ30" i="3"/>
  <c r="H30" i="3"/>
  <c r="AJ29" i="3"/>
  <c r="H29" i="3"/>
  <c r="AJ28" i="3"/>
  <c r="H28" i="3"/>
  <c r="AY27" i="3"/>
  <c r="AJ27" i="3"/>
  <c r="W27" i="3"/>
  <c r="H27" i="3"/>
  <c r="AJ26" i="3"/>
  <c r="H26" i="3"/>
  <c r="AJ25" i="3"/>
  <c r="H25" i="3"/>
  <c r="AS21" i="3"/>
  <c r="O21" i="3"/>
  <c r="AS20" i="3"/>
  <c r="AQ20" i="3"/>
  <c r="AO20" i="3"/>
  <c r="AM20" i="3"/>
  <c r="Q20" i="3"/>
  <c r="O20" i="3"/>
  <c r="M20" i="3"/>
  <c r="K20" i="3"/>
  <c r="AS19" i="3"/>
  <c r="AQ19" i="3"/>
  <c r="AQ21" i="3" s="1"/>
  <c r="AO19" i="3"/>
  <c r="AO21" i="3" s="1"/>
  <c r="AM19" i="3"/>
  <c r="AM21" i="3" s="1"/>
  <c r="Q19" i="3"/>
  <c r="O19" i="3"/>
  <c r="M19" i="3"/>
  <c r="K19" i="3"/>
  <c r="S19" i="3" s="1"/>
  <c r="AS18" i="3"/>
  <c r="O18" i="3"/>
  <c r="AS17" i="3"/>
  <c r="AQ17" i="3"/>
  <c r="AO17" i="3"/>
  <c r="AM17" i="3"/>
  <c r="AU17" i="3" s="1"/>
  <c r="Q17" i="3"/>
  <c r="O17" i="3"/>
  <c r="M17" i="3"/>
  <c r="K17" i="3"/>
  <c r="S17" i="3" s="1"/>
  <c r="AS16" i="3"/>
  <c r="AQ16" i="3"/>
  <c r="AO16" i="3"/>
  <c r="AO18" i="3" s="1"/>
  <c r="AM16" i="3"/>
  <c r="Q16" i="3"/>
  <c r="Q18" i="3" s="1"/>
  <c r="O16" i="3"/>
  <c r="M16" i="3"/>
  <c r="M18" i="3" s="1"/>
  <c r="K16" i="3"/>
  <c r="K18" i="3" s="1"/>
  <c r="AC15" i="3"/>
  <c r="Q15" i="3"/>
  <c r="AS14" i="3"/>
  <c r="AQ14" i="3"/>
  <c r="AO14" i="3"/>
  <c r="AM14" i="3"/>
  <c r="AU14" i="3" s="1"/>
  <c r="Q14" i="3"/>
  <c r="O14" i="3"/>
  <c r="M14" i="3"/>
  <c r="K14" i="3"/>
  <c r="AS13" i="3"/>
  <c r="AS15" i="3" s="1"/>
  <c r="AQ13" i="3"/>
  <c r="AQ15" i="3" s="1"/>
  <c r="AO13" i="3"/>
  <c r="AO15" i="3" s="1"/>
  <c r="AM13" i="3"/>
  <c r="AM15" i="3" s="1"/>
  <c r="Q13" i="3"/>
  <c r="O13" i="3"/>
  <c r="O15" i="3" s="1"/>
  <c r="M13" i="3"/>
  <c r="M15" i="3" s="1"/>
  <c r="K13" i="3"/>
  <c r="K15" i="3" s="1"/>
  <c r="AQ12" i="3"/>
  <c r="Q12" i="3"/>
  <c r="AS11" i="3"/>
  <c r="AQ11" i="3"/>
  <c r="AO11" i="3"/>
  <c r="AM11" i="3"/>
  <c r="Q11" i="3"/>
  <c r="O11" i="3"/>
  <c r="M11" i="3"/>
  <c r="K11" i="3"/>
  <c r="AS10" i="3"/>
  <c r="AQ10" i="3"/>
  <c r="AO10" i="3"/>
  <c r="AM10" i="3"/>
  <c r="AM12" i="3" s="1"/>
  <c r="Q10" i="3"/>
  <c r="O10" i="3"/>
  <c r="M10" i="3"/>
  <c r="M12" i="3" s="1"/>
  <c r="K10" i="3"/>
  <c r="AQ9" i="3"/>
  <c r="Q9" i="3"/>
  <c r="AS8" i="3"/>
  <c r="AQ8" i="3"/>
  <c r="AO8" i="3"/>
  <c r="AM8" i="3"/>
  <c r="Q8" i="3"/>
  <c r="O8" i="3"/>
  <c r="M8" i="3"/>
  <c r="K8" i="3"/>
  <c r="AS7" i="3"/>
  <c r="AS9" i="3" s="1"/>
  <c r="AQ7" i="3"/>
  <c r="AO7" i="3"/>
  <c r="AO9" i="3" s="1"/>
  <c r="AM7" i="3"/>
  <c r="AM9" i="3" s="1"/>
  <c r="Q7" i="3"/>
  <c r="O7" i="3"/>
  <c r="O9" i="3" s="1"/>
  <c r="M7" i="3"/>
  <c r="M9" i="3" s="1"/>
  <c r="K7" i="3"/>
  <c r="K9" i="3" s="1"/>
  <c r="Q6" i="3"/>
  <c r="AS5" i="3"/>
  <c r="AQ5" i="3"/>
  <c r="AO5" i="3"/>
  <c r="AM5" i="3"/>
  <c r="Q5" i="3"/>
  <c r="O5" i="3"/>
  <c r="M5" i="3"/>
  <c r="K5" i="3"/>
  <c r="AS4" i="3"/>
  <c r="AS6" i="3" s="1"/>
  <c r="AQ4" i="3"/>
  <c r="AQ6" i="3" s="1"/>
  <c r="AO4" i="3"/>
  <c r="AO6" i="3" s="1"/>
  <c r="AM4" i="3"/>
  <c r="Q4" i="3"/>
  <c r="O4" i="3"/>
  <c r="O6" i="3" s="1"/>
  <c r="M4" i="3"/>
  <c r="M6" i="3" s="1"/>
  <c r="K4" i="3"/>
  <c r="AM26" i="5" l="1"/>
  <c r="K27" i="5"/>
  <c r="AM29" i="5"/>
  <c r="K25" i="5"/>
  <c r="AM25" i="5"/>
  <c r="K29" i="5"/>
  <c r="AM27" i="5"/>
  <c r="AU22" i="4"/>
  <c r="J30" i="4"/>
  <c r="I30" i="4"/>
  <c r="J29" i="4"/>
  <c r="V5" i="4"/>
  <c r="I29" i="4"/>
  <c r="K29" i="4" s="1"/>
  <c r="AL28" i="4"/>
  <c r="AK28" i="4"/>
  <c r="J27" i="4"/>
  <c r="I27" i="4"/>
  <c r="J25" i="4"/>
  <c r="I25" i="4"/>
  <c r="V4" i="4"/>
  <c r="K22" i="4"/>
  <c r="AK27" i="4"/>
  <c r="AL27" i="4"/>
  <c r="AL26" i="4"/>
  <c r="AK26" i="4"/>
  <c r="AL25" i="4"/>
  <c r="AK25" i="4"/>
  <c r="AX4" i="4"/>
  <c r="S22" i="4"/>
  <c r="U33" i="4" s="1"/>
  <c r="J28" i="4"/>
  <c r="I28" i="4"/>
  <c r="J26" i="4"/>
  <c r="I26" i="4"/>
  <c r="AM22" i="4"/>
  <c r="AM30" i="4"/>
  <c r="AU8" i="3"/>
  <c r="AU5" i="3"/>
  <c r="AU10" i="3"/>
  <c r="AG15" i="3"/>
  <c r="AL28" i="3" s="1"/>
  <c r="AG21" i="3"/>
  <c r="AK30" i="3" s="1"/>
  <c r="AU20" i="3"/>
  <c r="K21" i="3"/>
  <c r="S5" i="3"/>
  <c r="E9" i="3"/>
  <c r="J26" i="3" s="1"/>
  <c r="S8" i="3"/>
  <c r="S11" i="3"/>
  <c r="E15" i="3"/>
  <c r="I28" i="3" s="1"/>
  <c r="S14" i="3"/>
  <c r="J28" i="3"/>
  <c r="AU4" i="3"/>
  <c r="AM6" i="3"/>
  <c r="AG6" i="3" s="1"/>
  <c r="S7" i="3"/>
  <c r="S13" i="3"/>
  <c r="AL30" i="3"/>
  <c r="AU19" i="3"/>
  <c r="K6" i="3"/>
  <c r="E6" i="3" s="1"/>
  <c r="S4" i="3"/>
  <c r="AU7" i="3"/>
  <c r="AG9" i="3"/>
  <c r="K12" i="3"/>
  <c r="E12" i="3" s="1"/>
  <c r="O12" i="3"/>
  <c r="S10" i="3"/>
  <c r="AO12" i="3"/>
  <c r="AG12" i="3" s="1"/>
  <c r="AS12" i="3"/>
  <c r="AU11" i="3"/>
  <c r="S16" i="3"/>
  <c r="AM18" i="3"/>
  <c r="AQ18" i="3"/>
  <c r="AU16" i="3"/>
  <c r="E18" i="3"/>
  <c r="M21" i="3"/>
  <c r="Q21" i="3"/>
  <c r="S20" i="3"/>
  <c r="AU13" i="3"/>
  <c r="AJ30" i="2"/>
  <c r="H30" i="2"/>
  <c r="AJ29" i="2"/>
  <c r="H29" i="2"/>
  <c r="AJ28" i="2"/>
  <c r="H28" i="2"/>
  <c r="AY27" i="2"/>
  <c r="AJ27" i="2"/>
  <c r="W27" i="2"/>
  <c r="H27" i="2"/>
  <c r="AJ26" i="2"/>
  <c r="H26" i="2"/>
  <c r="AJ25" i="2"/>
  <c r="H25" i="2"/>
  <c r="AS21" i="2"/>
  <c r="O21" i="2"/>
  <c r="AS20" i="2"/>
  <c r="AQ20" i="2"/>
  <c r="AO20" i="2"/>
  <c r="AM20" i="2"/>
  <c r="Q20" i="2"/>
  <c r="O20" i="2"/>
  <c r="M20" i="2"/>
  <c r="K20" i="2"/>
  <c r="S20" i="2" s="1"/>
  <c r="AS19" i="2"/>
  <c r="AQ19" i="2"/>
  <c r="AQ21" i="2" s="1"/>
  <c r="AO19" i="2"/>
  <c r="AO21" i="2" s="1"/>
  <c r="AM19" i="2"/>
  <c r="AM21" i="2" s="1"/>
  <c r="Q19" i="2"/>
  <c r="Q21" i="2" s="1"/>
  <c r="O19" i="2"/>
  <c r="M19" i="2"/>
  <c r="M21" i="2" s="1"/>
  <c r="K19" i="2"/>
  <c r="S19" i="2" s="1"/>
  <c r="AS18" i="2"/>
  <c r="O18" i="2"/>
  <c r="AS17" i="2"/>
  <c r="AQ17" i="2"/>
  <c r="AO17" i="2"/>
  <c r="AM17" i="2"/>
  <c r="AU17" i="2" s="1"/>
  <c r="Q17" i="2"/>
  <c r="O17" i="2"/>
  <c r="M17" i="2"/>
  <c r="K17" i="2"/>
  <c r="S17" i="2" s="1"/>
  <c r="AS16" i="2"/>
  <c r="AQ16" i="2"/>
  <c r="AQ18" i="2" s="1"/>
  <c r="AO16" i="2"/>
  <c r="AO18" i="2" s="1"/>
  <c r="AM16" i="2"/>
  <c r="AM18" i="2" s="1"/>
  <c r="Q16" i="2"/>
  <c r="Q18" i="2" s="1"/>
  <c r="O16" i="2"/>
  <c r="M16" i="2"/>
  <c r="M18" i="2" s="1"/>
  <c r="K16" i="2"/>
  <c r="S16" i="2" s="1"/>
  <c r="AC15" i="2"/>
  <c r="Q15" i="2"/>
  <c r="AS14" i="2"/>
  <c r="AQ14" i="2"/>
  <c r="AO14" i="2"/>
  <c r="AM14" i="2"/>
  <c r="AU14" i="2" s="1"/>
  <c r="Q14" i="2"/>
  <c r="O14" i="2"/>
  <c r="M14" i="2"/>
  <c r="K14" i="2"/>
  <c r="AS13" i="2"/>
  <c r="AS15" i="2" s="1"/>
  <c r="AQ13" i="2"/>
  <c r="AQ15" i="2" s="1"/>
  <c r="AO13" i="2"/>
  <c r="AO15" i="2" s="1"/>
  <c r="AM13" i="2"/>
  <c r="AM15" i="2" s="1"/>
  <c r="AG15" i="2" s="1"/>
  <c r="Q13" i="2"/>
  <c r="O13" i="2"/>
  <c r="O15" i="2" s="1"/>
  <c r="M13" i="2"/>
  <c r="M15" i="2" s="1"/>
  <c r="K13" i="2"/>
  <c r="K15" i="2" s="1"/>
  <c r="AQ12" i="2"/>
  <c r="AM12" i="2"/>
  <c r="Q12" i="2"/>
  <c r="AS11" i="2"/>
  <c r="AQ11" i="2"/>
  <c r="AO11" i="2"/>
  <c r="AM11" i="2"/>
  <c r="Q11" i="2"/>
  <c r="O11" i="2"/>
  <c r="M11" i="2"/>
  <c r="K11" i="2"/>
  <c r="AS10" i="2"/>
  <c r="AS12" i="2" s="1"/>
  <c r="AQ10" i="2"/>
  <c r="AO10" i="2"/>
  <c r="AO12" i="2" s="1"/>
  <c r="AM10" i="2"/>
  <c r="Q10" i="2"/>
  <c r="O10" i="2"/>
  <c r="O12" i="2" s="1"/>
  <c r="M10" i="2"/>
  <c r="M12" i="2" s="1"/>
  <c r="K10" i="2"/>
  <c r="AQ9" i="2"/>
  <c r="Q9" i="2"/>
  <c r="AS8" i="2"/>
  <c r="AQ8" i="2"/>
  <c r="AO8" i="2"/>
  <c r="AM8" i="2"/>
  <c r="Q8" i="2"/>
  <c r="O8" i="2"/>
  <c r="M8" i="2"/>
  <c r="K8" i="2"/>
  <c r="AS7" i="2"/>
  <c r="AS9" i="2" s="1"/>
  <c r="AQ7" i="2"/>
  <c r="AO7" i="2"/>
  <c r="AO9" i="2" s="1"/>
  <c r="AM7" i="2"/>
  <c r="Q7" i="2"/>
  <c r="O7" i="2"/>
  <c r="O9" i="2" s="1"/>
  <c r="M7" i="2"/>
  <c r="M9" i="2" s="1"/>
  <c r="K7" i="2"/>
  <c r="K9" i="2" s="1"/>
  <c r="Q6" i="2"/>
  <c r="AS5" i="2"/>
  <c r="AQ5" i="2"/>
  <c r="AO5" i="2"/>
  <c r="AM5" i="2"/>
  <c r="Q5" i="2"/>
  <c r="O5" i="2"/>
  <c r="M5" i="2"/>
  <c r="K5" i="2"/>
  <c r="AS4" i="2"/>
  <c r="AS6" i="2" s="1"/>
  <c r="AQ4" i="2"/>
  <c r="AQ6" i="2" s="1"/>
  <c r="AO4" i="2"/>
  <c r="AO6" i="2" s="1"/>
  <c r="AM4" i="2"/>
  <c r="Q4" i="2"/>
  <c r="O4" i="2"/>
  <c r="O6" i="2" s="1"/>
  <c r="M4" i="2"/>
  <c r="M6" i="2" s="1"/>
  <c r="K4" i="2"/>
  <c r="AM27" i="4" l="1"/>
  <c r="K26" i="4"/>
  <c r="K30" i="4"/>
  <c r="K28" i="4"/>
  <c r="AM25" i="4"/>
  <c r="AM26" i="4"/>
  <c r="K25" i="4"/>
  <c r="K27" i="4"/>
  <c r="AM28" i="4"/>
  <c r="AK28" i="3"/>
  <c r="AM28" i="3" s="1"/>
  <c r="AM30" i="3"/>
  <c r="K28" i="3"/>
  <c r="I26" i="3"/>
  <c r="E21" i="3"/>
  <c r="I30" i="3" s="1"/>
  <c r="K26" i="3"/>
  <c r="J30" i="3"/>
  <c r="AK27" i="3"/>
  <c r="AL27" i="3"/>
  <c r="J29" i="3"/>
  <c r="I29" i="3"/>
  <c r="J27" i="3"/>
  <c r="I27" i="3"/>
  <c r="J25" i="3"/>
  <c r="V4" i="3"/>
  <c r="I25" i="3"/>
  <c r="K25" i="3" s="1"/>
  <c r="AU22" i="3"/>
  <c r="AG18" i="3"/>
  <c r="AL26" i="3"/>
  <c r="AK26" i="3"/>
  <c r="AM26" i="3" s="1"/>
  <c r="S22" i="3"/>
  <c r="U33" i="3" s="1"/>
  <c r="K22" i="3"/>
  <c r="AL25" i="3"/>
  <c r="AX4" i="3"/>
  <c r="AK25" i="3"/>
  <c r="AM22" i="3"/>
  <c r="AU8" i="2"/>
  <c r="AU7" i="2"/>
  <c r="S11" i="2"/>
  <c r="AG18" i="2"/>
  <c r="AL29" i="2" s="1"/>
  <c r="AU5" i="2"/>
  <c r="AM9" i="2"/>
  <c r="AG9" i="2" s="1"/>
  <c r="AL26" i="2" s="1"/>
  <c r="AU10" i="2"/>
  <c r="AU11" i="2"/>
  <c r="AG21" i="2"/>
  <c r="AK30" i="2" s="1"/>
  <c r="AU20" i="2"/>
  <c r="E15" i="2"/>
  <c r="S13" i="2"/>
  <c r="K18" i="2"/>
  <c r="E18" i="2" s="1"/>
  <c r="K21" i="2"/>
  <c r="S5" i="2"/>
  <c r="E9" i="2"/>
  <c r="J26" i="2" s="1"/>
  <c r="S8" i="2"/>
  <c r="K12" i="2"/>
  <c r="E12" i="2" s="1"/>
  <c r="I27" i="2" s="1"/>
  <c r="S10" i="2"/>
  <c r="S14" i="2"/>
  <c r="AG12" i="2"/>
  <c r="J28" i="2"/>
  <c r="I28" i="2"/>
  <c r="AX5" i="2"/>
  <c r="J29" i="2"/>
  <c r="I29" i="2"/>
  <c r="K29" i="2" s="1"/>
  <c r="AL30" i="2"/>
  <c r="E21" i="2"/>
  <c r="AL28" i="2"/>
  <c r="AK28" i="2"/>
  <c r="AU19" i="2"/>
  <c r="S4" i="2"/>
  <c r="AU4" i="2"/>
  <c r="AM6" i="2"/>
  <c r="AG6" i="2" s="1"/>
  <c r="S7" i="2"/>
  <c r="AU16" i="2"/>
  <c r="K6" i="2"/>
  <c r="E6" i="2" s="1"/>
  <c r="AU13" i="2"/>
  <c r="AJ30" i="1"/>
  <c r="H30" i="1"/>
  <c r="AJ29" i="1"/>
  <c r="H29" i="1"/>
  <c r="AJ28" i="1"/>
  <c r="H28" i="1"/>
  <c r="AY27" i="1"/>
  <c r="AJ27" i="1"/>
  <c r="W27" i="1"/>
  <c r="H27" i="1"/>
  <c r="AJ26" i="1"/>
  <c r="H26" i="1"/>
  <c r="AJ25" i="1"/>
  <c r="H25" i="1"/>
  <c r="AS21" i="1"/>
  <c r="O21" i="1"/>
  <c r="AS20" i="1"/>
  <c r="AQ20" i="1"/>
  <c r="AO20" i="1"/>
  <c r="AM20" i="1"/>
  <c r="Q20" i="1"/>
  <c r="O20" i="1"/>
  <c r="M20" i="1"/>
  <c r="K20" i="1"/>
  <c r="S20" i="1" s="1"/>
  <c r="AS19" i="1"/>
  <c r="AQ19" i="1"/>
  <c r="AQ21" i="1" s="1"/>
  <c r="AO19" i="1"/>
  <c r="AO21" i="1" s="1"/>
  <c r="AM19" i="1"/>
  <c r="AM21" i="1" s="1"/>
  <c r="Q19" i="1"/>
  <c r="Q21" i="1" s="1"/>
  <c r="O19" i="1"/>
  <c r="M19" i="1"/>
  <c r="M21" i="1" s="1"/>
  <c r="K19" i="1"/>
  <c r="K21" i="1" s="1"/>
  <c r="AS18" i="1"/>
  <c r="O18" i="1"/>
  <c r="AS17" i="1"/>
  <c r="AQ17" i="1"/>
  <c r="AO17" i="1"/>
  <c r="AM17" i="1"/>
  <c r="Q17" i="1"/>
  <c r="O17" i="1"/>
  <c r="M17" i="1"/>
  <c r="K17" i="1"/>
  <c r="AS16" i="1"/>
  <c r="AQ16" i="1"/>
  <c r="AQ18" i="1" s="1"/>
  <c r="AO16" i="1"/>
  <c r="AO18" i="1" s="1"/>
  <c r="AM16" i="1"/>
  <c r="AM18" i="1" s="1"/>
  <c r="Q16" i="1"/>
  <c r="Q18" i="1" s="1"/>
  <c r="O16" i="1"/>
  <c r="M16" i="1"/>
  <c r="M18" i="1" s="1"/>
  <c r="K16" i="1"/>
  <c r="AC15" i="1"/>
  <c r="Q15" i="1"/>
  <c r="AS14" i="1"/>
  <c r="AQ14" i="1"/>
  <c r="AO14" i="1"/>
  <c r="AM14" i="1"/>
  <c r="AU14" i="1" s="1"/>
  <c r="Q14" i="1"/>
  <c r="O14" i="1"/>
  <c r="M14" i="1"/>
  <c r="K14" i="1"/>
  <c r="S14" i="1" s="1"/>
  <c r="AS13" i="1"/>
  <c r="AS15" i="1" s="1"/>
  <c r="AQ13" i="1"/>
  <c r="AQ15" i="1" s="1"/>
  <c r="AO13" i="1"/>
  <c r="AO15" i="1" s="1"/>
  <c r="AM13" i="1"/>
  <c r="AM15" i="1" s="1"/>
  <c r="AG15" i="1" s="1"/>
  <c r="Q13" i="1"/>
  <c r="O13" i="1"/>
  <c r="O15" i="1" s="1"/>
  <c r="M13" i="1"/>
  <c r="M15" i="1" s="1"/>
  <c r="K13" i="1"/>
  <c r="AQ12" i="1"/>
  <c r="Q12" i="1"/>
  <c r="AS11" i="1"/>
  <c r="AQ11" i="1"/>
  <c r="AO11" i="1"/>
  <c r="AM11" i="1"/>
  <c r="Q11" i="1"/>
  <c r="O11" i="1"/>
  <c r="M11" i="1"/>
  <c r="K11" i="1"/>
  <c r="AS10" i="1"/>
  <c r="AQ10" i="1"/>
  <c r="AO10" i="1"/>
  <c r="AM10" i="1"/>
  <c r="AU10" i="1" s="1"/>
  <c r="Q10" i="1"/>
  <c r="O10" i="1"/>
  <c r="M10" i="1"/>
  <c r="M12" i="1" s="1"/>
  <c r="K10" i="1"/>
  <c r="AQ9" i="1"/>
  <c r="Q9" i="1"/>
  <c r="AS8" i="1"/>
  <c r="AQ8" i="1"/>
  <c r="AO8" i="1"/>
  <c r="AM8" i="1"/>
  <c r="AU8" i="1" s="1"/>
  <c r="Q8" i="1"/>
  <c r="O8" i="1"/>
  <c r="M8" i="1"/>
  <c r="K8" i="1"/>
  <c r="AS7" i="1"/>
  <c r="AS9" i="1" s="1"/>
  <c r="AQ7" i="1"/>
  <c r="AO7" i="1"/>
  <c r="AO9" i="1" s="1"/>
  <c r="AM7" i="1"/>
  <c r="AM9" i="1" s="1"/>
  <c r="Q7" i="1"/>
  <c r="O7" i="1"/>
  <c r="O9" i="1" s="1"/>
  <c r="M7" i="1"/>
  <c r="M9" i="1" s="1"/>
  <c r="K7" i="1"/>
  <c r="K9" i="1" s="1"/>
  <c r="Q6" i="1"/>
  <c r="AS5" i="1"/>
  <c r="AQ5" i="1"/>
  <c r="AO5" i="1"/>
  <c r="AM5" i="1"/>
  <c r="Q5" i="1"/>
  <c r="O5" i="1"/>
  <c r="M5" i="1"/>
  <c r="K5" i="1"/>
  <c r="S5" i="1" s="1"/>
  <c r="AS4" i="1"/>
  <c r="AS6" i="1" s="1"/>
  <c r="AQ4" i="1"/>
  <c r="AQ6" i="1" s="1"/>
  <c r="AO4" i="1"/>
  <c r="AO6" i="1" s="1"/>
  <c r="AM4" i="1"/>
  <c r="Q4" i="1"/>
  <c r="O4" i="1"/>
  <c r="O6" i="1" s="1"/>
  <c r="M4" i="1"/>
  <c r="M6" i="1" s="1"/>
  <c r="K4" i="1"/>
  <c r="AM25" i="3" l="1"/>
  <c r="K29" i="3"/>
  <c r="K30" i="3"/>
  <c r="V5" i="3"/>
  <c r="AL29" i="3"/>
  <c r="AX5" i="3"/>
  <c r="AK29" i="3"/>
  <c r="AM29" i="3" s="1"/>
  <c r="K27" i="3"/>
  <c r="AM27" i="3"/>
  <c r="AK29" i="2"/>
  <c r="AM29" i="2" s="1"/>
  <c r="AK26" i="2"/>
  <c r="AM26" i="2" s="1"/>
  <c r="AM30" i="2"/>
  <c r="J27" i="2"/>
  <c r="I26" i="2"/>
  <c r="AU22" i="2"/>
  <c r="K28" i="2"/>
  <c r="AL25" i="2"/>
  <c r="AX4" i="2"/>
  <c r="AK25" i="2"/>
  <c r="AM25" i="2" s="1"/>
  <c r="S22" i="2"/>
  <c r="U33" i="2" s="1"/>
  <c r="AM28" i="2"/>
  <c r="K27" i="2"/>
  <c r="K26" i="2"/>
  <c r="J30" i="2"/>
  <c r="I30" i="2"/>
  <c r="V5" i="2"/>
  <c r="AM22" i="2"/>
  <c r="J25" i="2"/>
  <c r="V4" i="2"/>
  <c r="I25" i="2"/>
  <c r="K25" i="2" s="1"/>
  <c r="AK27" i="2"/>
  <c r="AL27" i="2"/>
  <c r="K22" i="2"/>
  <c r="AU5" i="1"/>
  <c r="S8" i="1"/>
  <c r="S11" i="1"/>
  <c r="E9" i="1"/>
  <c r="AM12" i="1"/>
  <c r="AG21" i="1"/>
  <c r="AL30" i="1" s="1"/>
  <c r="AU19" i="1"/>
  <c r="AG18" i="1"/>
  <c r="AL29" i="1" s="1"/>
  <c r="AU17" i="1"/>
  <c r="AU20" i="1"/>
  <c r="S16" i="1"/>
  <c r="S17" i="1"/>
  <c r="K18" i="1"/>
  <c r="E18" i="1" s="1"/>
  <c r="S19" i="1"/>
  <c r="J26" i="1"/>
  <c r="I26" i="1"/>
  <c r="AU4" i="1"/>
  <c r="AM6" i="1"/>
  <c r="AG6" i="1" s="1"/>
  <c r="K15" i="1"/>
  <c r="E15" i="1" s="1"/>
  <c r="S13" i="1"/>
  <c r="AL28" i="1"/>
  <c r="AK28" i="1"/>
  <c r="AM28" i="1" s="1"/>
  <c r="E21" i="1"/>
  <c r="S7" i="1"/>
  <c r="K6" i="1"/>
  <c r="E6" i="1" s="1"/>
  <c r="S4" i="1"/>
  <c r="AU7" i="1"/>
  <c r="AG9" i="1"/>
  <c r="K12" i="1"/>
  <c r="E12" i="1" s="1"/>
  <c r="O12" i="1"/>
  <c r="S10" i="1"/>
  <c r="AO12" i="1"/>
  <c r="AS12" i="1"/>
  <c r="AU11" i="1"/>
  <c r="AK30" i="1"/>
  <c r="AU16" i="1"/>
  <c r="AU13" i="1"/>
  <c r="AM27" i="2" l="1"/>
  <c r="K30" i="2"/>
  <c r="AX5" i="1"/>
  <c r="AK29" i="1"/>
  <c r="AM29" i="1" s="1"/>
  <c r="K26" i="1"/>
  <c r="AG12" i="1"/>
  <c r="AK27" i="1" s="1"/>
  <c r="J27" i="1"/>
  <c r="I27" i="1"/>
  <c r="J25" i="1"/>
  <c r="V4" i="1"/>
  <c r="I25" i="1"/>
  <c r="K25" i="1" s="1"/>
  <c r="AU22" i="1"/>
  <c r="AM30" i="1"/>
  <c r="J29" i="1"/>
  <c r="V5" i="1"/>
  <c r="I29" i="1"/>
  <c r="K29" i="1" s="1"/>
  <c r="AL26" i="1"/>
  <c r="AK26" i="1"/>
  <c r="S22" i="1"/>
  <c r="U33" i="1" s="1"/>
  <c r="K22" i="1"/>
  <c r="J30" i="1"/>
  <c r="I30" i="1"/>
  <c r="J28" i="1"/>
  <c r="I28" i="1"/>
  <c r="K28" i="1" s="1"/>
  <c r="AL25" i="1"/>
  <c r="AK25" i="1"/>
  <c r="AM25" i="1" s="1"/>
  <c r="AM22" i="1"/>
  <c r="AX4" i="1" l="1"/>
  <c r="AL27" i="1"/>
  <c r="K27" i="1"/>
  <c r="K30" i="1"/>
  <c r="AM26" i="1"/>
  <c r="AM27" i="1"/>
</calcChain>
</file>

<file path=xl/sharedStrings.xml><?xml version="1.0" encoding="utf-8"?>
<sst xmlns="http://schemas.openxmlformats.org/spreadsheetml/2006/main" count="4306" uniqueCount="77">
  <si>
    <t>02UI</t>
  </si>
  <si>
    <t>OPENING METER</t>
  </si>
  <si>
    <t>CLOSING METER</t>
  </si>
  <si>
    <t>SALES</t>
  </si>
  <si>
    <t>PRICE</t>
  </si>
  <si>
    <t>AMOUNT</t>
  </si>
  <si>
    <t>BANK LODGMENT</t>
  </si>
  <si>
    <t>IMPREST</t>
  </si>
  <si>
    <t>PMS1</t>
  </si>
  <si>
    <t>PMS</t>
  </si>
  <si>
    <t>BANK NAME</t>
  </si>
  <si>
    <t>PMS 2</t>
  </si>
  <si>
    <t>AGO</t>
  </si>
  <si>
    <t>AMOUNT DEPOSITED</t>
  </si>
  <si>
    <t>TOTAL PMS 1</t>
  </si>
  <si>
    <t>DATE</t>
  </si>
  <si>
    <t>PMS 3</t>
  </si>
  <si>
    <t>PRODUCTS RECEIVED</t>
  </si>
  <si>
    <t>PAYMENT STATUS</t>
  </si>
  <si>
    <t>PMS 4</t>
  </si>
  <si>
    <t>PMS 1</t>
  </si>
  <si>
    <t>TOTAL PMS 2</t>
  </si>
  <si>
    <t>PMS 5</t>
  </si>
  <si>
    <t>PMS 6</t>
  </si>
  <si>
    <t>TOTAL PMS 3</t>
  </si>
  <si>
    <t>AGO 1</t>
  </si>
  <si>
    <t>PMS 7</t>
  </si>
  <si>
    <t>AGO 2</t>
  </si>
  <si>
    <t>PMS 8</t>
  </si>
  <si>
    <t>TOTAL PMS 4</t>
  </si>
  <si>
    <t>TOTAL</t>
  </si>
  <si>
    <t>EXPENSES</t>
  </si>
  <si>
    <t>TOTAL AGO 1</t>
  </si>
  <si>
    <t>AGO 3</t>
  </si>
  <si>
    <t>AGO 4</t>
  </si>
  <si>
    <t>TOTAL AGO 2</t>
  </si>
  <si>
    <t>TANK</t>
  </si>
  <si>
    <t>OPENNG DIPPG</t>
  </si>
  <si>
    <t>CLOSNG DIPPG</t>
  </si>
  <si>
    <t>ACTUAL GEAR</t>
  </si>
  <si>
    <t>EXPCTD GEAR</t>
  </si>
  <si>
    <t>DIFFERENCE</t>
  </si>
  <si>
    <t>Opay 1</t>
  </si>
  <si>
    <t>Opay 227</t>
  </si>
  <si>
    <t>cash/transfer</t>
  </si>
  <si>
    <t>GTI 2</t>
  </si>
  <si>
    <t>SGR 40</t>
  </si>
  <si>
    <t>SGR 41</t>
  </si>
  <si>
    <t>SGR 58</t>
  </si>
  <si>
    <t>SGR 59</t>
  </si>
  <si>
    <t>SGR 60</t>
  </si>
  <si>
    <t>SGR 61</t>
  </si>
  <si>
    <t>SGR 62</t>
  </si>
  <si>
    <t>SGR 70</t>
  </si>
  <si>
    <t>SGR 71</t>
  </si>
  <si>
    <t>SGR 201</t>
  </si>
  <si>
    <t>SGR 202</t>
  </si>
  <si>
    <t>SGR 203</t>
  </si>
  <si>
    <t>SGR 205</t>
  </si>
  <si>
    <t>SGR 209</t>
  </si>
  <si>
    <t>SGR 211</t>
  </si>
  <si>
    <t>ADD UP</t>
  </si>
  <si>
    <t>AVAILABLE CASH</t>
  </si>
  <si>
    <t>SGR 212</t>
  </si>
  <si>
    <t>SGR 213</t>
  </si>
  <si>
    <t>SGR 214</t>
  </si>
  <si>
    <t>SGR 215</t>
  </si>
  <si>
    <t>SGR 216</t>
  </si>
  <si>
    <t>SGR 217</t>
  </si>
  <si>
    <t>SGR 218</t>
  </si>
  <si>
    <t>SGR 219</t>
  </si>
  <si>
    <t>LESS ADJUSTMENT SGR 213(2/09/2026)</t>
  </si>
  <si>
    <t xml:space="preserve">LESS RTT PMS (21.62L) BY WEIGHT AND MEASURE </t>
  </si>
  <si>
    <t>Opay 228</t>
  </si>
  <si>
    <t>LESS RTT (31L)</t>
  </si>
  <si>
    <t>LESS RTT PMS (659.86L) BY ENGR. ADELAJA</t>
  </si>
  <si>
    <t>LESS RTT AGO (261.06L) BY ENGR. ADELAJA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</si>
</sst>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7"/>
      <name val="Calibri"/>
      <family val="2"/>
      <scheme val="minor"/>
    </font>
    <font>
      <b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14" fontId="3" fillId="0" borderId="0" xfId="0" applyNumberFormat="1" applyFont="1" applyProtection="1"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>
      <alignment horizontal="center"/>
    </xf>
    <xf numFmtId="43" fontId="9" fillId="0" borderId="0" xfId="1" applyFont="1" applyBorder="1" applyProtection="1"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10" fillId="0" borderId="1" xfId="0" applyFont="1" applyBorder="1" applyAlignment="1" applyProtection="1">
      <alignment horizontal="center"/>
      <protection locked="0"/>
    </xf>
    <xf numFmtId="43" fontId="5" fillId="0" borderId="0" xfId="1" applyFont="1" applyAlignment="1" applyProtection="1">
      <alignment horizontal="center"/>
      <protection locked="0"/>
    </xf>
    <xf numFmtId="4" fontId="9" fillId="0" borderId="0" xfId="0" applyNumberFormat="1" applyFont="1" applyProtection="1">
      <protection locked="0"/>
    </xf>
    <xf numFmtId="4" fontId="6" fillId="0" borderId="0" xfId="0" applyNumberFormat="1" applyFont="1" applyAlignment="1" applyProtection="1">
      <alignment horizontal="left"/>
      <protection locked="0"/>
    </xf>
    <xf numFmtId="43" fontId="11" fillId="0" borderId="0" xfId="1" applyFont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4" fillId="0" borderId="0" xfId="0" applyFont="1" applyAlignment="1">
      <alignment horizontal="center"/>
    </xf>
    <xf numFmtId="14" fontId="10" fillId="0" borderId="1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43" fontId="5" fillId="0" borderId="0" xfId="1" applyFont="1" applyBorder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Alignment="1" applyProtection="1">
      <protection locked="0"/>
    </xf>
    <xf numFmtId="0" fontId="1" fillId="0" borderId="0" xfId="0" applyFont="1"/>
    <xf numFmtId="43" fontId="13" fillId="0" borderId="0" xfId="1" applyFont="1" applyProtection="1"/>
    <xf numFmtId="0" fontId="2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right"/>
      <protection locked="0"/>
    </xf>
    <xf numFmtId="43" fontId="5" fillId="0" borderId="0" xfId="1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43" fontId="8" fillId="0" borderId="0" xfId="1" applyFont="1" applyProtection="1"/>
    <xf numFmtId="0" fontId="6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3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/>
    <xf numFmtId="43" fontId="8" fillId="0" borderId="0" xfId="0" applyNumberFormat="1" applyFont="1" applyAlignment="1" applyProtection="1">
      <alignment horizontal="left"/>
      <protection locked="0"/>
    </xf>
    <xf numFmtId="3" fontId="8" fillId="0" borderId="0" xfId="0" applyNumberFormat="1" applyFont="1" applyProtection="1">
      <protection locked="0"/>
    </xf>
    <xf numFmtId="4" fontId="4" fillId="0" borderId="0" xfId="0" applyNumberFormat="1" applyFont="1" applyProtection="1">
      <protection locked="0"/>
    </xf>
    <xf numFmtId="0" fontId="6" fillId="0" borderId="0" xfId="0" applyFont="1"/>
    <xf numFmtId="0" fontId="16" fillId="0" borderId="0" xfId="0" applyFont="1" applyProtection="1">
      <protection locked="0"/>
    </xf>
    <xf numFmtId="4" fontId="6" fillId="0" borderId="0" xfId="0" applyNumberFormat="1" applyFont="1" applyAlignment="1" applyProtection="1">
      <alignment horizontal="center"/>
      <protection locked="0"/>
    </xf>
    <xf numFmtId="4" fontId="4" fillId="0" borderId="0" xfId="0" applyNumberFormat="1" applyFont="1" applyAlignment="1" applyProtection="1">
      <alignment horizontal="center"/>
      <protection locked="0"/>
    </xf>
    <xf numFmtId="4" fontId="16" fillId="0" borderId="0" xfId="0" applyNumberFormat="1" applyFont="1" applyAlignment="1" applyProtection="1">
      <alignment horizontal="left"/>
      <protection locked="0"/>
    </xf>
    <xf numFmtId="0" fontId="10" fillId="0" borderId="0" xfId="0" applyFont="1"/>
    <xf numFmtId="0" fontId="2" fillId="0" borderId="1" xfId="0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F14" workbookViewId="0">
      <selection activeCell="U36" sqref="U36"/>
    </sheetView>
  </sheetViews>
  <sheetFormatPr defaultRowHeight="15" x14ac:dyDescent="0.25"/>
  <cols>
    <col min="3" max="3" width="10" bestFit="1" customWidth="1"/>
    <col min="5" max="5" width="10" bestFit="1" customWidth="1"/>
    <col min="10" max="10" width="10.85546875" bestFit="1" customWidth="1"/>
    <col min="13" max="13" width="10.85546875" bestFit="1" customWidth="1"/>
    <col min="15" max="17" width="10" bestFit="1" customWidth="1"/>
    <col min="19" max="19" width="12" bestFit="1" customWidth="1"/>
    <col min="20" max="20" width="10.85546875" bestFit="1" customWidth="1"/>
    <col min="21" max="21" width="14.7109375" bestFit="1" customWidth="1"/>
  </cols>
  <sheetData>
    <row r="1" spans="3:51" x14ac:dyDescent="0.25">
      <c r="C1" s="1">
        <v>46266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3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3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3:51" x14ac:dyDescent="0.25">
      <c r="C4" s="2"/>
      <c r="D4" s="4"/>
      <c r="E4" s="4" t="s">
        <v>8</v>
      </c>
      <c r="F4" s="4">
        <v>1036920.93</v>
      </c>
      <c r="G4" s="4">
        <v>1037489.03</v>
      </c>
      <c r="H4" s="4">
        <v>1037489.03</v>
      </c>
      <c r="I4" s="4"/>
      <c r="J4" s="4"/>
      <c r="K4" s="10">
        <f>G4-F4</f>
        <v>568.09999999997672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732280.89999996999</v>
      </c>
      <c r="T4" s="6"/>
      <c r="U4" s="7" t="s">
        <v>9</v>
      </c>
      <c r="V4" s="11">
        <f>E6+E9+E12+E15</f>
        <v>12626.720000000205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1036948</v>
      </c>
      <c r="AI4" s="4">
        <v>1037516</v>
      </c>
      <c r="AJ4" s="4">
        <v>1037516</v>
      </c>
      <c r="AK4" s="4"/>
      <c r="AL4" s="4"/>
      <c r="AM4" s="10">
        <f>AI4-AH4</f>
        <v>568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690120</v>
      </c>
      <c r="AV4" s="6"/>
      <c r="AW4" s="7" t="s">
        <v>9</v>
      </c>
      <c r="AX4" s="11">
        <f>AG6+AG9+AG12+AG15</f>
        <v>12623</v>
      </c>
      <c r="AY4" s="11"/>
    </row>
    <row r="5" spans="3:51" x14ac:dyDescent="0.25">
      <c r="C5" s="2"/>
      <c r="D5" s="4"/>
      <c r="E5" s="4" t="s">
        <v>11</v>
      </c>
      <c r="F5" s="4">
        <v>1318894.8799999999</v>
      </c>
      <c r="G5" s="4">
        <v>1320955.01</v>
      </c>
      <c r="H5" s="4">
        <v>1320955.01</v>
      </c>
      <c r="I5" s="4"/>
      <c r="J5" s="4"/>
      <c r="K5" s="10">
        <f>G5-F5</f>
        <v>2060.1300000001211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2655507.5700001558</v>
      </c>
      <c r="T5" s="6"/>
      <c r="U5" s="7" t="s">
        <v>12</v>
      </c>
      <c r="V5" s="15">
        <f>E18+E21</f>
        <v>13586.579999999958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1318929</v>
      </c>
      <c r="AI5" s="4">
        <v>1320987</v>
      </c>
      <c r="AJ5" s="4">
        <v>1320987</v>
      </c>
      <c r="AK5" s="4"/>
      <c r="AL5" s="4"/>
      <c r="AM5" s="10">
        <f>AI5-AH5</f>
        <v>2058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2500470</v>
      </c>
      <c r="AV5" s="6"/>
      <c r="AW5" s="7" t="s">
        <v>12</v>
      </c>
      <c r="AX5" s="15">
        <f>AG18+AG21</f>
        <v>13586</v>
      </c>
      <c r="AY5" s="15"/>
    </row>
    <row r="6" spans="3:51" x14ac:dyDescent="0.25">
      <c r="C6" s="2"/>
      <c r="D6" s="18" t="s">
        <v>14</v>
      </c>
      <c r="E6" s="3">
        <f>K6+M6+O6+Q6</f>
        <v>2628.2300000000978</v>
      </c>
      <c r="F6" s="4"/>
      <c r="G6" s="4"/>
      <c r="H6" s="4"/>
      <c r="I6" s="4"/>
      <c r="J6" s="4"/>
      <c r="K6" s="19">
        <f>SUM(K4:K5)</f>
        <v>2628.2300000000978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2626</v>
      </c>
      <c r="AH6" s="4"/>
      <c r="AI6" s="4"/>
      <c r="AJ6" s="4"/>
      <c r="AK6" s="4"/>
      <c r="AL6" s="4"/>
      <c r="AM6" s="19">
        <f>SUM(AM4:AM5)</f>
        <v>2626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3:51" x14ac:dyDescent="0.25">
      <c r="C7" s="2"/>
      <c r="D7" s="18"/>
      <c r="E7" s="4" t="s">
        <v>16</v>
      </c>
      <c r="F7" s="4">
        <v>698230.3</v>
      </c>
      <c r="G7" s="4">
        <v>699867.64</v>
      </c>
      <c r="H7" s="4">
        <v>699867.64</v>
      </c>
      <c r="I7" s="4"/>
      <c r="J7" s="4"/>
      <c r="K7" s="10">
        <f>G7-F7</f>
        <v>1637.3399999999674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2110531.2599999579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698272</v>
      </c>
      <c r="AI7" s="4">
        <v>699909</v>
      </c>
      <c r="AJ7" s="4">
        <v>699909</v>
      </c>
      <c r="AK7" s="4"/>
      <c r="AL7" s="4"/>
      <c r="AM7" s="10">
        <f>AI7-AH7</f>
        <v>1637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1988955</v>
      </c>
      <c r="AV7" s="6"/>
      <c r="AW7" s="7" t="s">
        <v>17</v>
      </c>
      <c r="AX7" s="7"/>
      <c r="AY7" s="7"/>
    </row>
    <row r="8" spans="3:51" x14ac:dyDescent="0.25">
      <c r="C8" s="2"/>
      <c r="D8" s="18"/>
      <c r="E8" s="4" t="s">
        <v>19</v>
      </c>
      <c r="F8" s="6">
        <v>1099661.96</v>
      </c>
      <c r="G8" s="6">
        <v>1102013.1200000001</v>
      </c>
      <c r="H8" s="6">
        <v>1102013.1200000001</v>
      </c>
      <c r="I8" s="6"/>
      <c r="J8" s="6"/>
      <c r="K8" s="10">
        <f>G8-F8</f>
        <v>2351.160000000149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3030645.2400001921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1099704</v>
      </c>
      <c r="AI8" s="6">
        <v>1102055</v>
      </c>
      <c r="AJ8" s="6">
        <v>1102055</v>
      </c>
      <c r="AK8" s="6"/>
      <c r="AL8" s="6"/>
      <c r="AM8" s="10">
        <f>AI8-AH8</f>
        <v>2351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2856465</v>
      </c>
      <c r="AV8" s="6"/>
      <c r="AW8" s="7" t="s">
        <v>20</v>
      </c>
      <c r="AX8" s="23"/>
      <c r="AY8" s="23"/>
    </row>
    <row r="9" spans="3:51" x14ac:dyDescent="0.25">
      <c r="C9" s="2"/>
      <c r="D9" s="18" t="s">
        <v>21</v>
      </c>
      <c r="E9" s="3">
        <f>K9+M9+O9+Q9</f>
        <v>3988.5000000001164</v>
      </c>
      <c r="F9" s="4"/>
      <c r="G9" s="4"/>
      <c r="H9" s="4"/>
      <c r="I9" s="4"/>
      <c r="J9" s="4"/>
      <c r="K9" s="19">
        <f>SUM(K7:K8)</f>
        <v>3988.5000000001164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3988</v>
      </c>
      <c r="AH9" s="4"/>
      <c r="AI9" s="4"/>
      <c r="AJ9" s="4"/>
      <c r="AK9" s="4"/>
      <c r="AL9" s="4"/>
      <c r="AM9" s="19">
        <f>SUM(AM7:AM8)</f>
        <v>3988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3:51" x14ac:dyDescent="0.25">
      <c r="C10" s="2"/>
      <c r="D10" s="18"/>
      <c r="E10" s="4" t="s">
        <v>22</v>
      </c>
      <c r="F10" s="6">
        <v>590069.96</v>
      </c>
      <c r="G10" s="6">
        <v>591358.17000000004</v>
      </c>
      <c r="H10" s="6">
        <v>591358.17000000004</v>
      </c>
      <c r="I10" s="6"/>
      <c r="J10" s="6"/>
      <c r="K10" s="10">
        <f>G10-F10</f>
        <v>1288.2100000000792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1660502.6900001019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590076</v>
      </c>
      <c r="AI10" s="6">
        <v>591364</v>
      </c>
      <c r="AJ10" s="6">
        <v>591364</v>
      </c>
      <c r="AK10" s="6"/>
      <c r="AL10" s="6"/>
      <c r="AM10" s="10">
        <f>AI10-AH10</f>
        <v>1288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1564920</v>
      </c>
      <c r="AV10" s="6"/>
      <c r="AW10" s="7" t="s">
        <v>16</v>
      </c>
      <c r="AX10" s="23"/>
      <c r="AY10" s="23"/>
    </row>
    <row r="11" spans="3:51" x14ac:dyDescent="0.25">
      <c r="C11" s="2"/>
      <c r="D11" s="2"/>
      <c r="E11" s="4" t="s">
        <v>23</v>
      </c>
      <c r="F11" s="6">
        <v>931081.26</v>
      </c>
      <c r="G11" s="6">
        <v>933629.17</v>
      </c>
      <c r="H11" s="6">
        <v>933629.17</v>
      </c>
      <c r="I11" s="6"/>
      <c r="J11" s="6"/>
      <c r="K11" s="10">
        <f>G11-F11</f>
        <v>2547.9100000000326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3284255.9900000421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931123</v>
      </c>
      <c r="AI11" s="6">
        <v>933670</v>
      </c>
      <c r="AJ11" s="6">
        <v>933670</v>
      </c>
      <c r="AK11" s="6"/>
      <c r="AL11" s="6"/>
      <c r="AM11" s="10">
        <f>AI11-AH11</f>
        <v>2547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3094605</v>
      </c>
      <c r="AV11" s="6"/>
      <c r="AW11" s="7" t="s">
        <v>19</v>
      </c>
      <c r="AX11" s="23"/>
      <c r="AY11" s="23"/>
    </row>
    <row r="12" spans="3:51" x14ac:dyDescent="0.25">
      <c r="C12" s="2"/>
      <c r="D12" s="18" t="s">
        <v>24</v>
      </c>
      <c r="E12" s="3">
        <f>K12+M12+O12+Q12</f>
        <v>3836.1200000001118</v>
      </c>
      <c r="F12" s="4"/>
      <c r="G12" s="4"/>
      <c r="H12" s="4"/>
      <c r="I12" s="4"/>
      <c r="J12" s="4"/>
      <c r="K12" s="19">
        <f>SUM(K10:K11)</f>
        <v>3836.1200000001118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3835</v>
      </c>
      <c r="AH12" s="4"/>
      <c r="AI12" s="4"/>
      <c r="AJ12" s="4"/>
      <c r="AK12" s="4"/>
      <c r="AL12" s="4"/>
      <c r="AM12" s="19">
        <f>SUM(AM10:AM11)</f>
        <v>3835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3:51" x14ac:dyDescent="0.25">
      <c r="C13" s="2"/>
      <c r="D13" s="2"/>
      <c r="E13" s="4" t="s">
        <v>26</v>
      </c>
      <c r="F13" s="6">
        <v>524776.56000000006</v>
      </c>
      <c r="G13" s="6">
        <v>525321.87</v>
      </c>
      <c r="H13" s="6">
        <v>525321.87</v>
      </c>
      <c r="I13" s="6"/>
      <c r="J13" s="6"/>
      <c r="K13" s="10">
        <f>G13-F13</f>
        <v>545.30999999993946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702904.58999992197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524818</v>
      </c>
      <c r="AI13" s="6">
        <v>525364</v>
      </c>
      <c r="AJ13" s="6">
        <v>525364</v>
      </c>
      <c r="AK13" s="6"/>
      <c r="AL13" s="6"/>
      <c r="AM13" s="10">
        <f>AI13-AH13</f>
        <v>546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663390</v>
      </c>
      <c r="AV13" s="6"/>
      <c r="AW13" s="7" t="s">
        <v>27</v>
      </c>
      <c r="AX13" s="23"/>
      <c r="AY13" s="23"/>
    </row>
    <row r="14" spans="3:51" x14ac:dyDescent="0.25">
      <c r="C14" s="2"/>
      <c r="D14" s="18"/>
      <c r="E14" s="4" t="s">
        <v>28</v>
      </c>
      <c r="F14" s="4">
        <v>927175.52</v>
      </c>
      <c r="G14" s="4">
        <v>928804.08</v>
      </c>
      <c r="H14" s="4">
        <v>928804.08</v>
      </c>
      <c r="I14" s="4"/>
      <c r="J14" s="4"/>
      <c r="K14" s="10">
        <f>G14-F14</f>
        <v>1628.5599999999395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2099213.8399999221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927208</v>
      </c>
      <c r="AI14" s="4">
        <v>928836</v>
      </c>
      <c r="AJ14" s="4">
        <v>928836</v>
      </c>
      <c r="AK14" s="4"/>
      <c r="AL14" s="4"/>
      <c r="AM14" s="10">
        <f>AI14-AH14</f>
        <v>1628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1978020</v>
      </c>
      <c r="AV14" s="6"/>
      <c r="AW14" s="2"/>
      <c r="AX14" s="2"/>
      <c r="AY14" s="2"/>
    </row>
    <row r="15" spans="3:51" x14ac:dyDescent="0.25">
      <c r="C15" s="2"/>
      <c r="D15" s="18" t="s">
        <v>29</v>
      </c>
      <c r="E15" s="3">
        <f>K15+M15+O15+Q15</f>
        <v>2173.8699999998789</v>
      </c>
      <c r="F15" s="4"/>
      <c r="G15" s="4"/>
      <c r="H15" s="4"/>
      <c r="I15" s="4"/>
      <c r="J15" s="4"/>
      <c r="K15" s="19">
        <f>SUM(K13:K14)</f>
        <v>2173.8699999998789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2174</v>
      </c>
      <c r="AH15" s="4"/>
      <c r="AI15" s="4"/>
      <c r="AJ15" s="4"/>
      <c r="AK15" s="4"/>
      <c r="AL15" s="4"/>
      <c r="AM15" s="19">
        <f>SUM(AM13:AM14)</f>
        <v>2174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3:51" x14ac:dyDescent="0.25">
      <c r="C16" s="31"/>
      <c r="D16" s="7"/>
      <c r="E16" s="4" t="s">
        <v>25</v>
      </c>
      <c r="F16" s="4">
        <v>676257.67</v>
      </c>
      <c r="G16" s="4">
        <v>680444.13</v>
      </c>
      <c r="H16" s="4">
        <v>680444.13</v>
      </c>
      <c r="I16" s="4"/>
      <c r="J16" s="4"/>
      <c r="K16" s="10">
        <f>G16-F16</f>
        <v>4186.4599999999627</v>
      </c>
      <c r="L16" s="6">
        <v>1769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7405847.7399999341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2030630</v>
      </c>
      <c r="AI16" s="4">
        <v>2034816</v>
      </c>
      <c r="AJ16" s="4">
        <v>2034816</v>
      </c>
      <c r="AK16" s="4"/>
      <c r="AL16" s="4"/>
      <c r="AM16" s="10">
        <f>AI16-AH16</f>
        <v>4186</v>
      </c>
      <c r="AN16" s="6">
        <v>1635</v>
      </c>
      <c r="AO16" s="10">
        <f>AJ16-AI16</f>
        <v>0</v>
      </c>
      <c r="AP16" s="6">
        <v>1769</v>
      </c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6844110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677242.43</v>
      </c>
      <c r="G17" s="6">
        <v>679690.98</v>
      </c>
      <c r="H17" s="6">
        <v>679690.98</v>
      </c>
      <c r="I17" s="6"/>
      <c r="J17" s="6"/>
      <c r="K17" s="10">
        <f>G17-F17</f>
        <v>2448.5499999999302</v>
      </c>
      <c r="L17" s="6">
        <v>1769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4331484.9499998763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1710684</v>
      </c>
      <c r="AI17" s="6">
        <v>1713132</v>
      </c>
      <c r="AJ17" s="6">
        <v>1713132</v>
      </c>
      <c r="AK17" s="6"/>
      <c r="AL17" s="6"/>
      <c r="AM17" s="10">
        <f>AI17-AH17</f>
        <v>2448</v>
      </c>
      <c r="AN17" s="6">
        <v>1635</v>
      </c>
      <c r="AO17" s="10">
        <f>AJ17-AI17</f>
        <v>0</v>
      </c>
      <c r="AP17" s="6">
        <v>1769</v>
      </c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4002480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6635.0099999998929</v>
      </c>
      <c r="F18" s="4"/>
      <c r="G18" s="4"/>
      <c r="H18" s="4"/>
      <c r="I18" s="4"/>
      <c r="J18" s="4"/>
      <c r="K18" s="19">
        <f>SUM(K16:K17)</f>
        <v>6635.0099999998929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6634</v>
      </c>
      <c r="AH18" s="4"/>
      <c r="AI18" s="4"/>
      <c r="AJ18" s="4"/>
      <c r="AK18" s="4"/>
      <c r="AL18" s="4"/>
      <c r="AM18" s="19">
        <f>SUM(AM16:AM17)</f>
        <v>6634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378057.87</v>
      </c>
      <c r="G19" s="6">
        <v>381588.27</v>
      </c>
      <c r="H19" s="6">
        <v>381588.27</v>
      </c>
      <c r="I19" s="6"/>
      <c r="J19" s="6"/>
      <c r="K19" s="10">
        <f t="shared" ref="K19:K20" si="8">G19-F19</f>
        <v>3530.4000000000233</v>
      </c>
      <c r="L19" s="6">
        <v>1769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6245277.6000000415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1218069</v>
      </c>
      <c r="AI19" s="6">
        <v>1221600</v>
      </c>
      <c r="AJ19" s="6">
        <v>1221600</v>
      </c>
      <c r="AK19" s="6"/>
      <c r="AL19" s="6"/>
      <c r="AM19" s="10">
        <f t="shared" ref="AM19:AM20" si="10">AI19-AH19</f>
        <v>3531</v>
      </c>
      <c r="AN19" s="6">
        <v>1635</v>
      </c>
      <c r="AO19" s="10">
        <f>AJ19-AI19</f>
        <v>0</v>
      </c>
      <c r="AP19" s="6">
        <v>1769</v>
      </c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5773185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475460.22</v>
      </c>
      <c r="G20" s="6">
        <v>478881.39</v>
      </c>
      <c r="H20" s="6">
        <v>478881.39</v>
      </c>
      <c r="I20" s="6"/>
      <c r="J20" s="6"/>
      <c r="K20" s="10">
        <f t="shared" si="8"/>
        <v>3421.1700000000419</v>
      </c>
      <c r="L20" s="6">
        <v>1769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6052049.730000074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1249989</v>
      </c>
      <c r="AI20" s="6">
        <v>1253410</v>
      </c>
      <c r="AJ20" s="6">
        <v>1253410</v>
      </c>
      <c r="AK20" s="6"/>
      <c r="AL20" s="6"/>
      <c r="AM20" s="10">
        <f t="shared" si="10"/>
        <v>3421</v>
      </c>
      <c r="AN20" s="6">
        <v>1635</v>
      </c>
      <c r="AO20" s="10">
        <f>AJ20-AI20</f>
        <v>0</v>
      </c>
      <c r="AP20" s="6">
        <v>1769</v>
      </c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5593335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6951.5700000000652</v>
      </c>
      <c r="F21" s="4"/>
      <c r="G21" s="4"/>
      <c r="H21" s="4"/>
      <c r="I21" s="4"/>
      <c r="J21" s="4"/>
      <c r="K21" s="19">
        <f>SUM(K19:K20)</f>
        <v>6951.5700000000652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6952</v>
      </c>
      <c r="AH21" s="4"/>
      <c r="AI21" s="4"/>
      <c r="AJ21" s="4"/>
      <c r="AK21" s="4"/>
      <c r="AL21" s="4"/>
      <c r="AM21" s="19">
        <f>SUM(AM19:AM20)</f>
        <v>6952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45475.030000000261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40310502.100000188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45466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37550055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51100</v>
      </c>
      <c r="G25" s="38">
        <v>48600</v>
      </c>
      <c r="H25" s="39">
        <f t="shared" ref="H25:H30" si="12">F25+V8-G25</f>
        <v>2500</v>
      </c>
      <c r="I25" s="39">
        <f>E6-H25</f>
        <v>128.23000000009779</v>
      </c>
      <c r="J25" s="40">
        <f>E6*0.085</f>
        <v>223.39955000000833</v>
      </c>
      <c r="K25" s="40">
        <f t="shared" ref="K25:K30" si="13">I25-J25</f>
        <v>-95.169549999910544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51100</v>
      </c>
      <c r="AI25" s="38">
        <v>48600</v>
      </c>
      <c r="AJ25" s="39">
        <f t="shared" ref="AJ25:AJ30" si="14">AH25+AX8-AI25</f>
        <v>2500</v>
      </c>
      <c r="AK25" s="39">
        <f>AG6-AJ25</f>
        <v>126</v>
      </c>
      <c r="AL25" s="40">
        <f>AG6*0.085</f>
        <v>223.21</v>
      </c>
      <c r="AM25" s="40">
        <f t="shared" ref="AM25:AM30" si="15">AK25-AL25</f>
        <v>-97.210000000000008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24750</v>
      </c>
      <c r="G26" s="38">
        <v>21050</v>
      </c>
      <c r="H26" s="39">
        <f t="shared" si="12"/>
        <v>3700</v>
      </c>
      <c r="I26" s="39">
        <f>E9-H26</f>
        <v>288.50000000011642</v>
      </c>
      <c r="J26" s="40">
        <f>E9*0.085</f>
        <v>339.02250000000993</v>
      </c>
      <c r="K26" s="40">
        <f t="shared" si="13"/>
        <v>-50.522499999893512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24750</v>
      </c>
      <c r="AI26" s="38">
        <v>21050</v>
      </c>
      <c r="AJ26" s="39">
        <f t="shared" si="14"/>
        <v>3700</v>
      </c>
      <c r="AK26" s="39">
        <f>AG9-AJ26</f>
        <v>288</v>
      </c>
      <c r="AL26" s="40">
        <f>AG9*0.085</f>
        <v>338.98</v>
      </c>
      <c r="AM26" s="40">
        <f t="shared" si="15"/>
        <v>-50.980000000000018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21850</v>
      </c>
      <c r="G27" s="38">
        <v>18300</v>
      </c>
      <c r="H27" s="39">
        <f t="shared" si="12"/>
        <v>3550</v>
      </c>
      <c r="I27" s="39">
        <f>E12-H27</f>
        <v>286.12000000011176</v>
      </c>
      <c r="J27" s="40">
        <f>E12*0.085</f>
        <v>326.07020000000955</v>
      </c>
      <c r="K27" s="40">
        <f t="shared" si="13"/>
        <v>-39.950199999897791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21850</v>
      </c>
      <c r="AI27" s="38">
        <v>18300</v>
      </c>
      <c r="AJ27" s="39">
        <f t="shared" si="14"/>
        <v>3550</v>
      </c>
      <c r="AK27" s="39">
        <f>AG12-AJ27</f>
        <v>285</v>
      </c>
      <c r="AL27" s="40">
        <f>AG12*0.085</f>
        <v>325.97500000000002</v>
      </c>
      <c r="AM27" s="40">
        <f t="shared" si="15"/>
        <v>-40.975000000000023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18350</v>
      </c>
      <c r="G28" s="38">
        <v>16200</v>
      </c>
      <c r="H28" s="39">
        <f t="shared" si="12"/>
        <v>2150</v>
      </c>
      <c r="I28" s="39">
        <f>E15-H28</f>
        <v>23.869999999878928</v>
      </c>
      <c r="J28" s="40">
        <f>E15*0.085</f>
        <v>184.77894999998972</v>
      </c>
      <c r="K28" s="40">
        <f t="shared" si="13"/>
        <v>-160.90895000011079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18350</v>
      </c>
      <c r="AI28" s="38">
        <v>16200</v>
      </c>
      <c r="AJ28" s="39">
        <f t="shared" si="14"/>
        <v>2150</v>
      </c>
      <c r="AK28" s="39">
        <f>AG15-AJ28</f>
        <v>24</v>
      </c>
      <c r="AL28" s="40">
        <f>AG15*0.085</f>
        <v>184.79000000000002</v>
      </c>
      <c r="AM28" s="40">
        <f t="shared" si="15"/>
        <v>-160.79000000000002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8200</v>
      </c>
      <c r="G29" s="38">
        <v>2000</v>
      </c>
      <c r="H29" s="39">
        <f>F29+V12-G29</f>
        <v>6200</v>
      </c>
      <c r="I29" s="39">
        <f>E18-H29</f>
        <v>435.0099999998929</v>
      </c>
      <c r="J29" s="40">
        <f>E18*0.085</f>
        <v>563.97584999999094</v>
      </c>
      <c r="K29" s="40">
        <f t="shared" si="13"/>
        <v>-128.96585000009804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8200</v>
      </c>
      <c r="AI29" s="38">
        <v>2000</v>
      </c>
      <c r="AJ29" s="39">
        <f t="shared" si="14"/>
        <v>6200</v>
      </c>
      <c r="AK29" s="39">
        <f>AG18-AJ29</f>
        <v>434</v>
      </c>
      <c r="AL29" s="40">
        <f>AG18*0.085</f>
        <v>563.89</v>
      </c>
      <c r="AM29" s="40">
        <f t="shared" si="15"/>
        <v>-129.88999999999999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12950</v>
      </c>
      <c r="G30" s="38">
        <v>6400</v>
      </c>
      <c r="H30" s="39">
        <f t="shared" si="12"/>
        <v>6550</v>
      </c>
      <c r="I30" s="39">
        <f>E21-H30</f>
        <v>401.57000000006519</v>
      </c>
      <c r="J30" s="40">
        <f>E21*0.085</f>
        <v>590.88345000000561</v>
      </c>
      <c r="K30" s="40">
        <f t="shared" si="13"/>
        <v>-189.31344999994042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12950</v>
      </c>
      <c r="AI30" s="38">
        <v>6400</v>
      </c>
      <c r="AJ30" s="39">
        <f t="shared" si="14"/>
        <v>6550</v>
      </c>
      <c r="AK30" s="39">
        <f>AG21-AJ30</f>
        <v>402</v>
      </c>
      <c r="AL30" s="40">
        <f>AG21*0.085</f>
        <v>590.92000000000007</v>
      </c>
      <c r="AM30" s="40">
        <f t="shared" si="15"/>
        <v>-188.92000000000007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555000</v>
      </c>
      <c r="C33" s="16">
        <v>1354100</v>
      </c>
      <c r="D33" s="16">
        <v>0</v>
      </c>
      <c r="E33" s="16">
        <v>1048720</v>
      </c>
      <c r="F33" s="16">
        <v>0</v>
      </c>
      <c r="G33" s="16">
        <v>0</v>
      </c>
      <c r="H33" s="49">
        <v>0</v>
      </c>
      <c r="I33" s="16">
        <v>0</v>
      </c>
      <c r="J33" s="16">
        <v>30215017</v>
      </c>
      <c r="K33" s="16">
        <v>0</v>
      </c>
      <c r="L33" s="16">
        <v>0</v>
      </c>
      <c r="M33" s="16">
        <v>18822708.52</v>
      </c>
      <c r="N33" s="16">
        <v>0</v>
      </c>
      <c r="O33" s="16">
        <v>0</v>
      </c>
      <c r="P33" s="16">
        <v>2039520</v>
      </c>
      <c r="Q33" s="16">
        <v>0</v>
      </c>
      <c r="R33" s="49">
        <v>553520</v>
      </c>
      <c r="S33" s="16">
        <v>0</v>
      </c>
      <c r="T33" s="16">
        <v>32350491.289999999</v>
      </c>
      <c r="U33" s="42">
        <f>SUM(S22-A33-B33-W27-C33-D33-E33-F33-G33-H33-I33-J33-K33-L33-M33-N33-O33-P33-Q33-R33-J35-K35-L35-M35-N35-O35-P35-Q35-S33+T33)</f>
        <v>7132897.8700001873</v>
      </c>
      <c r="W33" s="2"/>
      <c r="X33" s="2"/>
      <c r="Y33" s="6"/>
      <c r="Z33" s="2"/>
      <c r="AA33" s="2"/>
      <c r="AB33" s="2"/>
      <c r="AC33" s="2"/>
      <c r="AD33" s="16">
        <v>1354100</v>
      </c>
      <c r="AE33" s="16">
        <v>0</v>
      </c>
      <c r="AF33" s="16">
        <v>1048720</v>
      </c>
      <c r="AG33" s="16">
        <v>0</v>
      </c>
      <c r="AH33" s="16">
        <v>0</v>
      </c>
      <c r="AI33" s="49">
        <v>0</v>
      </c>
      <c r="AJ33" s="16">
        <v>0</v>
      </c>
      <c r="AK33" s="16">
        <v>30215017</v>
      </c>
      <c r="AL33" s="16">
        <v>0</v>
      </c>
      <c r="AM33" s="16">
        <v>0</v>
      </c>
      <c r="AN33" s="16">
        <v>18822708.52</v>
      </c>
      <c r="AO33" s="16">
        <v>0</v>
      </c>
      <c r="AP33" s="16">
        <v>0</v>
      </c>
      <c r="AQ33" s="16">
        <v>2039520</v>
      </c>
      <c r="AR33" s="16">
        <v>0</v>
      </c>
      <c r="AS33" s="49">
        <v>553520</v>
      </c>
      <c r="AT33" s="16">
        <v>0</v>
      </c>
      <c r="AU33" s="16">
        <v>32350491.289999999</v>
      </c>
      <c r="AV33" s="16">
        <v>28531083.539999999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/>
      <c r="K35" s="16"/>
      <c r="L35" s="16">
        <v>0</v>
      </c>
      <c r="M35" s="16">
        <v>1422696</v>
      </c>
      <c r="N35" s="16">
        <v>0</v>
      </c>
      <c r="O35" s="16">
        <v>6732880</v>
      </c>
      <c r="P35" s="16">
        <v>1698954</v>
      </c>
      <c r="Q35" s="16">
        <v>1084980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/>
      <c r="AM35" s="16"/>
      <c r="AN35" s="16">
        <v>0</v>
      </c>
      <c r="AO35" s="16">
        <v>1422696</v>
      </c>
      <c r="AP35" s="16">
        <v>0</v>
      </c>
      <c r="AQ35" s="16">
        <v>6732880</v>
      </c>
      <c r="AR35" s="16">
        <v>1698954</v>
      </c>
      <c r="AS35" s="16">
        <v>1084980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K15" workbookViewId="0">
      <selection activeCell="M37" sqref="M37"/>
    </sheetView>
  </sheetViews>
  <sheetFormatPr defaultRowHeight="15" x14ac:dyDescent="0.25"/>
  <cols>
    <col min="8" max="9" width="10" bestFit="1" customWidth="1"/>
    <col min="10" max="10" width="10.85546875" bestFit="1" customWidth="1"/>
    <col min="19" max="19" width="12" bestFit="1" customWidth="1"/>
    <col min="20" max="20" width="10" bestFit="1" customWidth="1"/>
    <col min="21" max="21" width="14.7109375" bestFit="1" customWidth="1"/>
  </cols>
  <sheetData>
    <row r="1" spans="1:51" x14ac:dyDescent="0.25">
      <c r="A1" s="1">
        <v>46267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1037489.03</v>
      </c>
      <c r="G4" s="4">
        <v>1038776.07</v>
      </c>
      <c r="H4" s="4">
        <v>1038776.07</v>
      </c>
      <c r="I4" s="4"/>
      <c r="J4" s="4"/>
      <c r="K4" s="10">
        <f>G4-F4</f>
        <v>1287.0399999999208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1658994.5599998981</v>
      </c>
      <c r="T4" s="6"/>
      <c r="U4" s="7" t="s">
        <v>9</v>
      </c>
      <c r="V4" s="11">
        <f>E6+E9+E12+E15</f>
        <v>11916.779999999795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1037516</v>
      </c>
      <c r="AI4" s="4">
        <v>1038803</v>
      </c>
      <c r="AJ4" s="4">
        <v>1038803</v>
      </c>
      <c r="AK4" s="4"/>
      <c r="AL4" s="4"/>
      <c r="AM4" s="10">
        <f>AI4-AH4</f>
        <v>1287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1563705</v>
      </c>
      <c r="AV4" s="6"/>
      <c r="AW4" s="7" t="s">
        <v>9</v>
      </c>
      <c r="AX4" s="11">
        <f>AG6+AG9+AG12+AG15</f>
        <v>11919</v>
      </c>
      <c r="AY4" s="11"/>
    </row>
    <row r="5" spans="1:51" x14ac:dyDescent="0.25">
      <c r="C5" s="2"/>
      <c r="D5" s="4"/>
      <c r="E5" s="4" t="s">
        <v>11</v>
      </c>
      <c r="F5" s="4">
        <v>1320955.01</v>
      </c>
      <c r="G5" s="4">
        <v>1322976.99</v>
      </c>
      <c r="H5" s="4">
        <v>1322976.99</v>
      </c>
      <c r="I5" s="4"/>
      <c r="J5" s="4"/>
      <c r="K5" s="10">
        <f>G5-F5</f>
        <v>2021.9799999999814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2606332.219999976</v>
      </c>
      <c r="T5" s="6"/>
      <c r="U5" s="7" t="s">
        <v>12</v>
      </c>
      <c r="V5" s="15">
        <f>E18+E21</f>
        <v>5386.7399999999907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1320987</v>
      </c>
      <c r="AI5" s="4">
        <v>1323011</v>
      </c>
      <c r="AJ5" s="4">
        <v>1323011</v>
      </c>
      <c r="AK5" s="4"/>
      <c r="AL5" s="4"/>
      <c r="AM5" s="10">
        <f>AI5-AH5</f>
        <v>2024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2459160</v>
      </c>
      <c r="AV5" s="6"/>
      <c r="AW5" s="7" t="s">
        <v>12</v>
      </c>
      <c r="AX5" s="15">
        <f>AG18+AG21</f>
        <v>5386</v>
      </c>
      <c r="AY5" s="15"/>
    </row>
    <row r="6" spans="1:51" x14ac:dyDescent="0.25">
      <c r="C6" s="2"/>
      <c r="D6" s="18" t="s">
        <v>14</v>
      </c>
      <c r="E6" s="3">
        <f>K6+M6+O6+Q6</f>
        <v>3309.0199999999022</v>
      </c>
      <c r="F6" s="4"/>
      <c r="G6" s="4"/>
      <c r="H6" s="4"/>
      <c r="I6" s="4"/>
      <c r="J6" s="4"/>
      <c r="K6" s="19">
        <f>SUM(K4:K5)</f>
        <v>3309.0199999999022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3311</v>
      </c>
      <c r="AH6" s="4"/>
      <c r="AI6" s="4"/>
      <c r="AJ6" s="4"/>
      <c r="AK6" s="4"/>
      <c r="AL6" s="4"/>
      <c r="AM6" s="19">
        <f>SUM(AM4:AM5)</f>
        <v>3311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699867.64</v>
      </c>
      <c r="G7" s="4">
        <v>700921.21</v>
      </c>
      <c r="H7" s="4">
        <v>700921.21</v>
      </c>
      <c r="I7" s="4"/>
      <c r="J7" s="4"/>
      <c r="K7" s="10">
        <f>G7-F7</f>
        <v>1053.5699999999488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1358051.7299999339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699909</v>
      </c>
      <c r="AI7" s="4">
        <v>700963</v>
      </c>
      <c r="AJ7" s="4">
        <v>700963</v>
      </c>
      <c r="AK7" s="4"/>
      <c r="AL7" s="4"/>
      <c r="AM7" s="10">
        <f>AI7-AH7</f>
        <v>1054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1280610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1102013.1200000001</v>
      </c>
      <c r="G8" s="6">
        <v>1104433.5</v>
      </c>
      <c r="H8" s="6">
        <v>1104433.5</v>
      </c>
      <c r="I8" s="6"/>
      <c r="J8" s="6"/>
      <c r="K8" s="10">
        <f>G8-F8</f>
        <v>2420.3799999998882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3119869.8199998559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1102055</v>
      </c>
      <c r="AI8" s="6">
        <v>1104476</v>
      </c>
      <c r="AJ8" s="6">
        <v>1104476</v>
      </c>
      <c r="AK8" s="6"/>
      <c r="AL8" s="6"/>
      <c r="AM8" s="10">
        <f>AI8-AH8</f>
        <v>2421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2941515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3473.949999999837</v>
      </c>
      <c r="F9" s="4"/>
      <c r="G9" s="4"/>
      <c r="H9" s="4"/>
      <c r="I9" s="4"/>
      <c r="J9" s="4"/>
      <c r="K9" s="19">
        <f>SUM(K7:K8)</f>
        <v>3473.949999999837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3475</v>
      </c>
      <c r="AH9" s="4"/>
      <c r="AI9" s="4"/>
      <c r="AJ9" s="4"/>
      <c r="AK9" s="4"/>
      <c r="AL9" s="4"/>
      <c r="AM9" s="19">
        <f>SUM(AM7:AM8)</f>
        <v>3475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591358.17000000004</v>
      </c>
      <c r="G10" s="6">
        <v>592121.42000000004</v>
      </c>
      <c r="H10" s="6">
        <v>592121.42000000004</v>
      </c>
      <c r="I10" s="6"/>
      <c r="J10" s="6"/>
      <c r="K10" s="10">
        <f>G10-F10</f>
        <v>763.25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983829.25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591364</v>
      </c>
      <c r="AI10" s="6">
        <v>592127</v>
      </c>
      <c r="AJ10" s="6">
        <v>592127</v>
      </c>
      <c r="AK10" s="6"/>
      <c r="AL10" s="6"/>
      <c r="AM10" s="10">
        <f>AI10-AH10</f>
        <v>763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927045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933629.17</v>
      </c>
      <c r="G11" s="6">
        <v>935490.92</v>
      </c>
      <c r="H11" s="6">
        <v>935490.92</v>
      </c>
      <c r="I11" s="6"/>
      <c r="J11" s="6"/>
      <c r="K11" s="10">
        <f>G11-F11</f>
        <v>1861.75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2399795.75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933670</v>
      </c>
      <c r="AI11" s="6">
        <v>935532</v>
      </c>
      <c r="AJ11" s="6">
        <v>935532</v>
      </c>
      <c r="AK11" s="6"/>
      <c r="AL11" s="6"/>
      <c r="AM11" s="10">
        <f>AI11-AH11</f>
        <v>1862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2262330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2625</v>
      </c>
      <c r="F12" s="4"/>
      <c r="G12" s="4"/>
      <c r="H12" s="4"/>
      <c r="I12" s="4"/>
      <c r="J12" s="4"/>
      <c r="K12" s="19">
        <f>SUM(K10:K11)</f>
        <v>2625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2625</v>
      </c>
      <c r="AH12" s="4"/>
      <c r="AI12" s="4"/>
      <c r="AJ12" s="4"/>
      <c r="AK12" s="4"/>
      <c r="AL12" s="4"/>
      <c r="AM12" s="19">
        <f>SUM(AM10:AM11)</f>
        <v>2625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525321.87</v>
      </c>
      <c r="G13" s="6">
        <v>526260.52</v>
      </c>
      <c r="H13" s="6">
        <v>526260.52</v>
      </c>
      <c r="I13" s="6"/>
      <c r="J13" s="6"/>
      <c r="K13" s="10">
        <f>G13-F13</f>
        <v>938.65000000002328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1209919.8500000299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525364</v>
      </c>
      <c r="AI13" s="6">
        <v>526302</v>
      </c>
      <c r="AJ13" s="6">
        <v>526302</v>
      </c>
      <c r="AK13" s="6"/>
      <c r="AL13" s="6"/>
      <c r="AM13" s="10">
        <f>AI13-AH13</f>
        <v>938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1139670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928804.08</v>
      </c>
      <c r="G14" s="4">
        <v>930374.24</v>
      </c>
      <c r="H14" s="4">
        <v>930374.24</v>
      </c>
      <c r="I14" s="4"/>
      <c r="J14" s="4"/>
      <c r="K14" s="10">
        <f>G14-F14</f>
        <v>1570.1600000000326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2023936.2400000421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928836</v>
      </c>
      <c r="AI14" s="4">
        <v>930406</v>
      </c>
      <c r="AJ14" s="4">
        <v>930406</v>
      </c>
      <c r="AK14" s="4"/>
      <c r="AL14" s="4"/>
      <c r="AM14" s="10">
        <f>AI14-AH14</f>
        <v>1570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1907550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2508.8100000000559</v>
      </c>
      <c r="F15" s="4"/>
      <c r="G15" s="4"/>
      <c r="H15" s="4"/>
      <c r="I15" s="4"/>
      <c r="J15" s="4"/>
      <c r="K15" s="19">
        <f>SUM(K13:K14)</f>
        <v>2508.8100000000559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2508</v>
      </c>
      <c r="AH15" s="4"/>
      <c r="AI15" s="4"/>
      <c r="AJ15" s="4"/>
      <c r="AK15" s="4"/>
      <c r="AL15" s="4"/>
      <c r="AM15" s="19">
        <f>SUM(AM13:AM14)</f>
        <v>2508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680444.13</v>
      </c>
      <c r="G16" s="4">
        <v>680444.13</v>
      </c>
      <c r="H16" s="4">
        <v>680444.13</v>
      </c>
      <c r="I16" s="4"/>
      <c r="J16" s="4"/>
      <c r="K16" s="10">
        <f>G16-F16</f>
        <v>0</v>
      </c>
      <c r="L16" s="6">
        <v>1769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0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2034816</v>
      </c>
      <c r="AI16" s="4">
        <v>2034816</v>
      </c>
      <c r="AJ16" s="4">
        <v>2034816</v>
      </c>
      <c r="AK16" s="4"/>
      <c r="AL16" s="4"/>
      <c r="AM16" s="10">
        <f>AI16-AH16</f>
        <v>0</v>
      </c>
      <c r="AN16" s="6">
        <v>1769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0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679690.98</v>
      </c>
      <c r="G17" s="6">
        <v>679690.98</v>
      </c>
      <c r="H17" s="6">
        <v>679690.98</v>
      </c>
      <c r="I17" s="6"/>
      <c r="J17" s="6"/>
      <c r="K17" s="10">
        <f>G17-F17</f>
        <v>0</v>
      </c>
      <c r="L17" s="6">
        <v>1769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0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1713132</v>
      </c>
      <c r="AI17" s="6">
        <v>1713132</v>
      </c>
      <c r="AJ17" s="6">
        <v>1713132</v>
      </c>
      <c r="AK17" s="6"/>
      <c r="AL17" s="6"/>
      <c r="AM17" s="10">
        <f>AI17-AH17</f>
        <v>0</v>
      </c>
      <c r="AN17" s="6">
        <v>1769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0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0</v>
      </c>
      <c r="F18" s="4"/>
      <c r="G18" s="4"/>
      <c r="H18" s="4"/>
      <c r="I18" s="4"/>
      <c r="J18" s="4"/>
      <c r="K18" s="19">
        <f>SUM(K16:K17)</f>
        <v>0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0</v>
      </c>
      <c r="AH18" s="4"/>
      <c r="AI18" s="4"/>
      <c r="AJ18" s="4"/>
      <c r="AK18" s="4"/>
      <c r="AL18" s="4"/>
      <c r="AM18" s="19">
        <f>SUM(AM16:AM17)</f>
        <v>0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381588.27</v>
      </c>
      <c r="G19" s="6">
        <v>385196.65</v>
      </c>
      <c r="H19" s="6">
        <v>385196.65</v>
      </c>
      <c r="I19" s="6"/>
      <c r="J19" s="6"/>
      <c r="K19" s="10">
        <f t="shared" ref="K19:K20" si="8">G19-F19</f>
        <v>3608.3800000000047</v>
      </c>
      <c r="L19" s="6">
        <v>1769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6383224.2200000081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1221600</v>
      </c>
      <c r="AI19" s="6">
        <v>1225208</v>
      </c>
      <c r="AJ19" s="6">
        <v>1225208</v>
      </c>
      <c r="AK19" s="6"/>
      <c r="AL19" s="6"/>
      <c r="AM19" s="10">
        <f t="shared" ref="AM19:AM20" si="10">AI19-AH19</f>
        <v>3608</v>
      </c>
      <c r="AN19" s="6">
        <v>1769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6382552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478881.39</v>
      </c>
      <c r="G20" s="6">
        <v>480659.75</v>
      </c>
      <c r="H20" s="6">
        <v>480659.75</v>
      </c>
      <c r="I20" s="6"/>
      <c r="J20" s="6"/>
      <c r="K20" s="10">
        <f t="shared" si="8"/>
        <v>1778.359999999986</v>
      </c>
      <c r="L20" s="6">
        <v>1769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3145918.8399999752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1253410</v>
      </c>
      <c r="AI20" s="6">
        <v>1255188</v>
      </c>
      <c r="AJ20" s="6">
        <v>1255188</v>
      </c>
      <c r="AK20" s="6"/>
      <c r="AL20" s="6"/>
      <c r="AM20" s="10">
        <f t="shared" si="10"/>
        <v>1778</v>
      </c>
      <c r="AN20" s="6">
        <v>1769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3145282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5386.7399999999907</v>
      </c>
      <c r="F21" s="4"/>
      <c r="G21" s="4"/>
      <c r="H21" s="4"/>
      <c r="I21" s="4"/>
      <c r="J21" s="4"/>
      <c r="K21" s="19">
        <f>SUM(K19:K20)</f>
        <v>5386.7399999999907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5386</v>
      </c>
      <c r="AH21" s="4"/>
      <c r="AI21" s="4"/>
      <c r="AJ21" s="4"/>
      <c r="AK21" s="4"/>
      <c r="AL21" s="4"/>
      <c r="AM21" s="19">
        <f>SUM(AM19:AM20)</f>
        <v>5386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29220.299999999581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24889872.479999714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29224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24009419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48600</v>
      </c>
      <c r="G25" s="38">
        <v>45500</v>
      </c>
      <c r="H25" s="39">
        <f t="shared" ref="H25:H30" si="12">F25+V8-G25</f>
        <v>3100</v>
      </c>
      <c r="I25" s="39">
        <f>E6-H25</f>
        <v>209.01999999990221</v>
      </c>
      <c r="J25" s="40">
        <f>E6*0.085</f>
        <v>281.26669999999172</v>
      </c>
      <c r="K25" s="40">
        <f t="shared" ref="K25:K30" si="13">I25-J25</f>
        <v>-72.246700000089504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48600</v>
      </c>
      <c r="AI25" s="38">
        <v>45500</v>
      </c>
      <c r="AJ25" s="39">
        <f t="shared" ref="AJ25:AJ30" si="14">AH25+AX8-AI25</f>
        <v>3100</v>
      </c>
      <c r="AK25" s="39">
        <f>AG6-AJ25</f>
        <v>211</v>
      </c>
      <c r="AL25" s="40">
        <f>AG6*0.085</f>
        <v>281.435</v>
      </c>
      <c r="AM25" s="40">
        <f t="shared" ref="AM25:AM30" si="15">AK25-AL25</f>
        <v>-70.435000000000002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21050</v>
      </c>
      <c r="G26" s="38">
        <v>17800</v>
      </c>
      <c r="H26" s="39">
        <f t="shared" si="12"/>
        <v>3250</v>
      </c>
      <c r="I26" s="39">
        <f>E9-H26</f>
        <v>223.94999999983702</v>
      </c>
      <c r="J26" s="40">
        <f>E9*0.085</f>
        <v>295.28574999998619</v>
      </c>
      <c r="K26" s="40">
        <f t="shared" si="13"/>
        <v>-71.335750000149176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21050</v>
      </c>
      <c r="AI26" s="38">
        <v>17800</v>
      </c>
      <c r="AJ26" s="39">
        <f t="shared" si="14"/>
        <v>3250</v>
      </c>
      <c r="AK26" s="39">
        <f>AG9-AJ26</f>
        <v>225</v>
      </c>
      <c r="AL26" s="40">
        <f>AG9*0.085</f>
        <v>295.375</v>
      </c>
      <c r="AM26" s="40">
        <f t="shared" si="15"/>
        <v>-70.375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18300</v>
      </c>
      <c r="G27" s="38">
        <v>15800</v>
      </c>
      <c r="H27" s="39">
        <f t="shared" si="12"/>
        <v>2500</v>
      </c>
      <c r="I27" s="39">
        <f>E12-H27</f>
        <v>125</v>
      </c>
      <c r="J27" s="40">
        <f>E12*0.085</f>
        <v>223.12500000000003</v>
      </c>
      <c r="K27" s="40">
        <f t="shared" si="13"/>
        <v>-98.125000000000028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18300</v>
      </c>
      <c r="AI27" s="38">
        <v>15800</v>
      </c>
      <c r="AJ27" s="39">
        <f t="shared" si="14"/>
        <v>2500</v>
      </c>
      <c r="AK27" s="39">
        <f>AG12-AJ27</f>
        <v>125</v>
      </c>
      <c r="AL27" s="40">
        <f>AG12*0.085</f>
        <v>223.12500000000003</v>
      </c>
      <c r="AM27" s="40">
        <f t="shared" si="15"/>
        <v>-98.125000000000028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16200</v>
      </c>
      <c r="G28" s="38">
        <v>13850</v>
      </c>
      <c r="H28" s="39">
        <f t="shared" si="12"/>
        <v>2350</v>
      </c>
      <c r="I28" s="39">
        <f>E15-H28</f>
        <v>158.81000000005588</v>
      </c>
      <c r="J28" s="40">
        <f>E15*0.085</f>
        <v>213.24885000000475</v>
      </c>
      <c r="K28" s="40">
        <f t="shared" si="13"/>
        <v>-54.438849999948872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16200</v>
      </c>
      <c r="AI28" s="38">
        <v>13850</v>
      </c>
      <c r="AJ28" s="39">
        <f t="shared" si="14"/>
        <v>2350</v>
      </c>
      <c r="AK28" s="39">
        <f>AG15-AJ28</f>
        <v>158</v>
      </c>
      <c r="AL28" s="40">
        <f>AG15*0.085</f>
        <v>213.18</v>
      </c>
      <c r="AM28" s="40">
        <f t="shared" si="15"/>
        <v>-55.180000000000007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2000</v>
      </c>
      <c r="G29" s="38">
        <v>2000</v>
      </c>
      <c r="H29" s="39">
        <f>F29+V12-G29</f>
        <v>0</v>
      </c>
      <c r="I29" s="39">
        <f>E18-H29</f>
        <v>0</v>
      </c>
      <c r="J29" s="40">
        <f>E18*0.085</f>
        <v>0</v>
      </c>
      <c r="K29" s="40">
        <f t="shared" si="13"/>
        <v>0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2000</v>
      </c>
      <c r="AI29" s="38">
        <v>2000</v>
      </c>
      <c r="AJ29" s="39">
        <f t="shared" si="14"/>
        <v>0</v>
      </c>
      <c r="AK29" s="39">
        <f>AG18-AJ29</f>
        <v>0</v>
      </c>
      <c r="AL29" s="40">
        <f>AG18*0.085</f>
        <v>0</v>
      </c>
      <c r="AM29" s="40">
        <f t="shared" si="15"/>
        <v>0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6400</v>
      </c>
      <c r="G30" s="38">
        <v>1350</v>
      </c>
      <c r="H30" s="39">
        <f t="shared" si="12"/>
        <v>5050</v>
      </c>
      <c r="I30" s="39">
        <f>E21-H30</f>
        <v>336.73999999999069</v>
      </c>
      <c r="J30" s="40">
        <f>E21*0.085</f>
        <v>457.87289999999922</v>
      </c>
      <c r="K30" s="40">
        <f t="shared" si="13"/>
        <v>-121.13290000000853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6400</v>
      </c>
      <c r="AI30" s="38">
        <v>1350</v>
      </c>
      <c r="AJ30" s="39">
        <f t="shared" si="14"/>
        <v>5050</v>
      </c>
      <c r="AK30" s="39">
        <f>AG21-AJ30</f>
        <v>336</v>
      </c>
      <c r="AL30" s="40">
        <f>AG21*0.085</f>
        <v>457.81000000000006</v>
      </c>
      <c r="AM30" s="40">
        <f t="shared" si="15"/>
        <v>-121.81000000000006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2796439.37</v>
      </c>
      <c r="C33" s="16">
        <v>0</v>
      </c>
      <c r="D33" s="16">
        <v>0</v>
      </c>
      <c r="E33" s="16">
        <v>0</v>
      </c>
      <c r="F33" s="16">
        <v>0</v>
      </c>
      <c r="G33" s="16">
        <v>892600</v>
      </c>
      <c r="H33" s="49">
        <v>1349385.91</v>
      </c>
      <c r="I33" s="16">
        <v>1141702</v>
      </c>
      <c r="J33" s="16">
        <v>13171318.52</v>
      </c>
      <c r="K33" s="16">
        <v>35000</v>
      </c>
      <c r="L33" s="16">
        <v>990637.16</v>
      </c>
      <c r="M33" s="16">
        <v>0</v>
      </c>
      <c r="N33" s="16">
        <v>0</v>
      </c>
      <c r="O33" s="16">
        <v>735976.65</v>
      </c>
      <c r="P33" s="16">
        <v>0</v>
      </c>
      <c r="Q33" s="16">
        <v>869043</v>
      </c>
      <c r="R33" s="49">
        <v>0</v>
      </c>
      <c r="S33" s="16">
        <v>793580</v>
      </c>
      <c r="T33" s="16">
        <v>7132897.8700000001</v>
      </c>
      <c r="U33" s="42">
        <f>SUM(S22-A33-B33-W27-C33-D33-E33-F33-G33-H33-I33-J33-K33-L33-M33-N33-O33-P33-Q33-R33-J35-K35-L35-M35-N35-O35-P35-Q35-S33+T33)</f>
        <v>7864049.1199997123</v>
      </c>
      <c r="W33" s="2"/>
      <c r="X33" s="2"/>
      <c r="Y33" s="6"/>
      <c r="Z33" s="2"/>
      <c r="AA33" s="2"/>
      <c r="AB33" s="2"/>
      <c r="AC33" s="2"/>
      <c r="AD33" s="45">
        <v>2796439.37</v>
      </c>
      <c r="AE33" s="16">
        <v>0</v>
      </c>
      <c r="AF33" s="16">
        <v>0</v>
      </c>
      <c r="AG33" s="16">
        <v>0</v>
      </c>
      <c r="AH33" s="16">
        <v>0</v>
      </c>
      <c r="AI33" s="16">
        <v>892600</v>
      </c>
      <c r="AJ33" s="49">
        <v>1349385.91</v>
      </c>
      <c r="AK33" s="16">
        <v>1141702</v>
      </c>
      <c r="AL33" s="16">
        <v>13171318.52</v>
      </c>
      <c r="AM33" s="16">
        <v>35000</v>
      </c>
      <c r="AN33" s="16">
        <v>990637.16</v>
      </c>
      <c r="AO33" s="16">
        <v>0</v>
      </c>
      <c r="AP33" s="16">
        <v>0</v>
      </c>
      <c r="AQ33" s="16">
        <v>735976.65</v>
      </c>
      <c r="AR33" s="16">
        <v>0</v>
      </c>
      <c r="AS33" s="16">
        <v>869043</v>
      </c>
      <c r="AT33" s="49">
        <v>0</v>
      </c>
      <c r="AU33" s="16">
        <v>793580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503638.62</v>
      </c>
      <c r="K35" s="16"/>
      <c r="L35" s="16">
        <v>0</v>
      </c>
      <c r="M35" s="16">
        <v>0</v>
      </c>
      <c r="N35" s="16">
        <v>879400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D16" workbookViewId="0">
      <selection activeCell="U28" sqref="U28"/>
    </sheetView>
  </sheetViews>
  <sheetFormatPr defaultRowHeight="15" x14ac:dyDescent="0.25"/>
  <cols>
    <col min="10" max="10" width="10" bestFit="1" customWidth="1"/>
    <col min="12" max="12" width="10" bestFit="1" customWidth="1"/>
    <col min="13" max="13" width="10.85546875" bestFit="1" customWidth="1"/>
    <col min="15" max="17" width="10" bestFit="1" customWidth="1"/>
    <col min="20" max="20" width="10" bestFit="1" customWidth="1"/>
    <col min="21" max="21" width="20" customWidth="1"/>
    <col min="23" max="23" width="9.5703125" bestFit="1" customWidth="1"/>
  </cols>
  <sheetData>
    <row r="1" spans="1:51" x14ac:dyDescent="0.25">
      <c r="A1" s="1">
        <v>46268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1038776.07</v>
      </c>
      <c r="G4" s="4">
        <v>1041157.65</v>
      </c>
      <c r="H4" s="4">
        <v>1041157.65</v>
      </c>
      <c r="I4" s="4"/>
      <c r="J4" s="4"/>
      <c r="K4" s="10">
        <f>G4-F4</f>
        <v>2381.5800000000745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3069856.620000096</v>
      </c>
      <c r="T4" s="6"/>
      <c r="U4" s="7" t="s">
        <v>9</v>
      </c>
      <c r="V4" s="11">
        <f>E6+E9+E12+E15</f>
        <v>11962.629999999888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1038803</v>
      </c>
      <c r="AI4" s="4">
        <v>1041185</v>
      </c>
      <c r="AJ4" s="4">
        <v>1041185</v>
      </c>
      <c r="AK4" s="4"/>
      <c r="AL4" s="4"/>
      <c r="AM4" s="10">
        <f>AI4-AH4</f>
        <v>2382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2894130</v>
      </c>
      <c r="AV4" s="6"/>
      <c r="AW4" s="7" t="s">
        <v>9</v>
      </c>
      <c r="AX4" s="11">
        <f>AG6+AG9+AG12+AG15</f>
        <v>11965</v>
      </c>
      <c r="AY4" s="11"/>
    </row>
    <row r="5" spans="1:51" x14ac:dyDescent="0.25">
      <c r="C5" s="2"/>
      <c r="D5" s="4"/>
      <c r="E5" s="4" t="s">
        <v>11</v>
      </c>
      <c r="F5" s="4">
        <v>1322976.99</v>
      </c>
      <c r="G5" s="4">
        <v>1325159.17</v>
      </c>
      <c r="H5" s="4">
        <v>1325159.17</v>
      </c>
      <c r="I5" s="4"/>
      <c r="J5" s="4"/>
      <c r="K5" s="10">
        <f>G5-F5</f>
        <v>2182.1799999999348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2812830.0199999157</v>
      </c>
      <c r="T5" s="6"/>
      <c r="U5" s="7" t="s">
        <v>12</v>
      </c>
      <c r="V5" s="15">
        <f>E18+E21</f>
        <v>15942.169999999984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1323011</v>
      </c>
      <c r="AI5" s="4">
        <v>1325194</v>
      </c>
      <c r="AJ5" s="4">
        <v>1325194</v>
      </c>
      <c r="AK5" s="4"/>
      <c r="AL5" s="4"/>
      <c r="AM5" s="10">
        <f>AI5-AH5</f>
        <v>2183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2652345</v>
      </c>
      <c r="AV5" s="6"/>
      <c r="AW5" s="7" t="s">
        <v>12</v>
      </c>
      <c r="AX5" s="15">
        <f>AG18+AG21</f>
        <v>15942</v>
      </c>
      <c r="AY5" s="15"/>
    </row>
    <row r="6" spans="1:51" x14ac:dyDescent="0.25">
      <c r="C6" s="2"/>
      <c r="D6" s="18" t="s">
        <v>14</v>
      </c>
      <c r="E6" s="3">
        <f>K6+M6+O6+Q6</f>
        <v>4563.7600000000093</v>
      </c>
      <c r="F6" s="4"/>
      <c r="G6" s="4"/>
      <c r="H6" s="4"/>
      <c r="I6" s="4"/>
      <c r="J6" s="4"/>
      <c r="K6" s="19">
        <f>SUM(K4:K5)</f>
        <v>4563.7600000000093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4565</v>
      </c>
      <c r="AH6" s="4"/>
      <c r="AI6" s="4"/>
      <c r="AJ6" s="4"/>
      <c r="AK6" s="4"/>
      <c r="AL6" s="4"/>
      <c r="AM6" s="19">
        <f>SUM(AM4:AM5)</f>
        <v>4565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700921.21</v>
      </c>
      <c r="G7" s="4">
        <v>703462.84</v>
      </c>
      <c r="H7" s="4">
        <v>703462.84</v>
      </c>
      <c r="I7" s="4"/>
      <c r="J7" s="4"/>
      <c r="K7" s="10">
        <f>G7-F7</f>
        <v>2541.6300000000047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3276161.0700000059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700963</v>
      </c>
      <c r="AI7" s="4">
        <v>703505</v>
      </c>
      <c r="AJ7" s="4">
        <v>703505</v>
      </c>
      <c r="AK7" s="4"/>
      <c r="AL7" s="4"/>
      <c r="AM7" s="10">
        <f>AI7-AH7</f>
        <v>2542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3088530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1104433.5</v>
      </c>
      <c r="G8" s="6">
        <v>1105299.96</v>
      </c>
      <c r="H8" s="6">
        <v>1105299.96</v>
      </c>
      <c r="I8" s="6"/>
      <c r="J8" s="6"/>
      <c r="K8" s="10">
        <f>G8-F8</f>
        <v>866.45999999996275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1116866.939999952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1104476</v>
      </c>
      <c r="AI8" s="6">
        <v>1105342</v>
      </c>
      <c r="AJ8" s="6">
        <v>1105342</v>
      </c>
      <c r="AK8" s="6"/>
      <c r="AL8" s="6"/>
      <c r="AM8" s="10">
        <f>AI8-AH8</f>
        <v>866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1052190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3408.0899999999674</v>
      </c>
      <c r="F9" s="4"/>
      <c r="G9" s="4"/>
      <c r="H9" s="4"/>
      <c r="I9" s="4"/>
      <c r="J9" s="4"/>
      <c r="K9" s="19">
        <f>SUM(K7:K8)</f>
        <v>3408.0899999999674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3408</v>
      </c>
      <c r="AH9" s="4"/>
      <c r="AI9" s="4"/>
      <c r="AJ9" s="4"/>
      <c r="AK9" s="4"/>
      <c r="AL9" s="4"/>
      <c r="AM9" s="19">
        <f>SUM(AM7:AM8)</f>
        <v>3408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592121.42000000004</v>
      </c>
      <c r="G10" s="6">
        <v>593085.09</v>
      </c>
      <c r="H10" s="6">
        <v>593085.09</v>
      </c>
      <c r="I10" s="6"/>
      <c r="J10" s="6"/>
      <c r="K10" s="10">
        <f>G10-F10</f>
        <v>963.66999999992549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1242170.629999904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592127</v>
      </c>
      <c r="AI10" s="6">
        <v>593091</v>
      </c>
      <c r="AJ10" s="6">
        <v>593091</v>
      </c>
      <c r="AK10" s="6"/>
      <c r="AL10" s="6"/>
      <c r="AM10" s="10">
        <f>AI10-AH10</f>
        <v>964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1171260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935490.92</v>
      </c>
      <c r="G11" s="6">
        <v>937718.05</v>
      </c>
      <c r="H11" s="6">
        <v>937718.05</v>
      </c>
      <c r="I11" s="6"/>
      <c r="J11" s="6"/>
      <c r="K11" s="10">
        <f>G11-F11</f>
        <v>2227.1300000000047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2870770.5700000059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935532</v>
      </c>
      <c r="AI11" s="6">
        <v>937759</v>
      </c>
      <c r="AJ11" s="6">
        <v>937759</v>
      </c>
      <c r="AK11" s="6"/>
      <c r="AL11" s="6"/>
      <c r="AM11" s="10">
        <f>AI11-AH11</f>
        <v>2227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2705805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3190.7999999999302</v>
      </c>
      <c r="F12" s="4"/>
      <c r="G12" s="4"/>
      <c r="H12" s="4"/>
      <c r="I12" s="4"/>
      <c r="J12" s="4"/>
      <c r="K12" s="19">
        <f>SUM(K10:K11)</f>
        <v>3190.7999999999302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>
        <v>39100</v>
      </c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3191</v>
      </c>
      <c r="AH12" s="4"/>
      <c r="AI12" s="4"/>
      <c r="AJ12" s="4"/>
      <c r="AK12" s="4"/>
      <c r="AL12" s="4"/>
      <c r="AM12" s="19">
        <f>SUM(AM10:AM11)</f>
        <v>3191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>
        <v>39100</v>
      </c>
      <c r="AY12" s="23"/>
    </row>
    <row r="13" spans="1:51" x14ac:dyDescent="0.25">
      <c r="C13" s="2"/>
      <c r="D13" s="2"/>
      <c r="E13" s="4" t="s">
        <v>26</v>
      </c>
      <c r="F13" s="6">
        <v>526260.52</v>
      </c>
      <c r="G13" s="6">
        <v>526516.93999999994</v>
      </c>
      <c r="H13" s="6">
        <v>526516.93999999994</v>
      </c>
      <c r="I13" s="6"/>
      <c r="J13" s="6"/>
      <c r="K13" s="10">
        <f>G13-F13</f>
        <v>256.41999999992549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330525.37999990396</v>
      </c>
      <c r="T13" s="6"/>
      <c r="U13" s="7" t="s">
        <v>27</v>
      </c>
      <c r="V13" s="23">
        <v>20950</v>
      </c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526302</v>
      </c>
      <c r="AI13" s="6">
        <v>526559</v>
      </c>
      <c r="AJ13" s="6">
        <v>526559</v>
      </c>
      <c r="AK13" s="6"/>
      <c r="AL13" s="6"/>
      <c r="AM13" s="10">
        <f>AI13-AH13</f>
        <v>257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312255</v>
      </c>
      <c r="AV13" s="6"/>
      <c r="AW13" s="7" t="s">
        <v>27</v>
      </c>
      <c r="AX13" s="23">
        <v>20950</v>
      </c>
      <c r="AY13" s="23"/>
    </row>
    <row r="14" spans="1:51" x14ac:dyDescent="0.25">
      <c r="C14" s="2"/>
      <c r="D14" s="18"/>
      <c r="E14" s="4" t="s">
        <v>28</v>
      </c>
      <c r="F14" s="4">
        <v>930374.24</v>
      </c>
      <c r="G14" s="4">
        <v>930917.8</v>
      </c>
      <c r="H14" s="4">
        <v>930917.8</v>
      </c>
      <c r="I14" s="4"/>
      <c r="J14" s="4"/>
      <c r="K14" s="10">
        <f>G14-F14</f>
        <v>543.56000000005588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700648.84000007203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930406</v>
      </c>
      <c r="AI14" s="4">
        <v>930950</v>
      </c>
      <c r="AJ14" s="4">
        <v>930950</v>
      </c>
      <c r="AK14" s="4"/>
      <c r="AL14" s="4"/>
      <c r="AM14" s="10">
        <f>AI14-AH14</f>
        <v>544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660960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799.97999999998137</v>
      </c>
      <c r="F15" s="4"/>
      <c r="G15" s="4"/>
      <c r="H15" s="4"/>
      <c r="I15" s="4"/>
      <c r="J15" s="4"/>
      <c r="K15" s="19">
        <f>SUM(K13:K14)</f>
        <v>799.97999999998137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801</v>
      </c>
      <c r="AH15" s="4"/>
      <c r="AI15" s="4"/>
      <c r="AJ15" s="4"/>
      <c r="AK15" s="4"/>
      <c r="AL15" s="4"/>
      <c r="AM15" s="19">
        <f>SUM(AM13:AM14)</f>
        <v>801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680444.13</v>
      </c>
      <c r="G16" s="4">
        <v>683012.65</v>
      </c>
      <c r="H16" s="4">
        <v>686151.59</v>
      </c>
      <c r="I16" s="4"/>
      <c r="J16" s="4"/>
      <c r="K16" s="10">
        <f>G16-F16</f>
        <v>2568.5200000000186</v>
      </c>
      <c r="L16" s="6">
        <v>1769</v>
      </c>
      <c r="M16" s="10">
        <f>H16-G16</f>
        <v>3138.9399999999441</v>
      </c>
      <c r="N16" s="6">
        <v>1869</v>
      </c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10410390.739999928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2034816</v>
      </c>
      <c r="AI16" s="4">
        <v>2037384</v>
      </c>
      <c r="AJ16" s="4">
        <v>2040523</v>
      </c>
      <c r="AK16" s="4"/>
      <c r="AL16" s="4"/>
      <c r="AM16" s="10">
        <f>AI16-AH16</f>
        <v>2568</v>
      </c>
      <c r="AN16" s="6">
        <v>1769</v>
      </c>
      <c r="AO16" s="10">
        <f>AJ16-AI16</f>
        <v>3139</v>
      </c>
      <c r="AP16" s="6">
        <v>1869</v>
      </c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10409583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679690.98</v>
      </c>
      <c r="G17" s="6">
        <v>682519.73</v>
      </c>
      <c r="H17" s="6">
        <v>684026.65</v>
      </c>
      <c r="I17" s="6"/>
      <c r="J17" s="6"/>
      <c r="K17" s="10">
        <f>G17-F17</f>
        <v>2828.75</v>
      </c>
      <c r="L17" s="6">
        <v>1769</v>
      </c>
      <c r="M17" s="10">
        <f>H17-G17</f>
        <v>1506.9200000000419</v>
      </c>
      <c r="N17" s="6">
        <v>1869</v>
      </c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7820492.2300000787</v>
      </c>
      <c r="T17" s="2"/>
      <c r="U17" s="4" t="s">
        <v>71</v>
      </c>
      <c r="V17" s="4"/>
      <c r="W17" s="33">
        <v>326858.21999999997</v>
      </c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1713132</v>
      </c>
      <c r="AI17" s="6">
        <v>1715961</v>
      </c>
      <c r="AJ17" s="6">
        <v>1717468</v>
      </c>
      <c r="AK17" s="6"/>
      <c r="AL17" s="6"/>
      <c r="AM17" s="10">
        <f>AI17-AH17</f>
        <v>2829</v>
      </c>
      <c r="AN17" s="6">
        <v>1769</v>
      </c>
      <c r="AO17" s="10">
        <f>AJ17-AI17</f>
        <v>1507</v>
      </c>
      <c r="AP17" s="6">
        <v>1869</v>
      </c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7821084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10043.130000000005</v>
      </c>
      <c r="F18" s="4"/>
      <c r="G18" s="4"/>
      <c r="H18" s="4"/>
      <c r="I18" s="4"/>
      <c r="J18" s="4"/>
      <c r="K18" s="19">
        <f>SUM(K16:K17)</f>
        <v>5397.2700000000186</v>
      </c>
      <c r="L18" s="6"/>
      <c r="M18" s="19">
        <f>SUM(M16:M17)</f>
        <v>4645.859999999986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10043</v>
      </c>
      <c r="AH18" s="4"/>
      <c r="AI18" s="4"/>
      <c r="AJ18" s="4"/>
      <c r="AK18" s="4"/>
      <c r="AL18" s="4"/>
      <c r="AM18" s="19">
        <f>SUM(AM16:AM17)</f>
        <v>5397</v>
      </c>
      <c r="AN18" s="6"/>
      <c r="AO18" s="19">
        <f>SUM(AO16:AO17)</f>
        <v>4646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385196.65</v>
      </c>
      <c r="G19" s="6">
        <v>386678.42</v>
      </c>
      <c r="H19" s="6">
        <v>389004.89</v>
      </c>
      <c r="I19" s="6"/>
      <c r="J19" s="6"/>
      <c r="K19" s="10">
        <f t="shared" ref="K19:K20" si="8">G19-F19</f>
        <v>1481.7699999999604</v>
      </c>
      <c r="L19" s="6">
        <v>1769</v>
      </c>
      <c r="M19" s="10">
        <f>H19-G19</f>
        <v>2326.4700000000303</v>
      </c>
      <c r="N19" s="6">
        <v>1869</v>
      </c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6969423.5599999866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1225208</v>
      </c>
      <c r="AI19" s="6">
        <v>1226690</v>
      </c>
      <c r="AJ19" s="6">
        <v>1229016</v>
      </c>
      <c r="AK19" s="6"/>
      <c r="AL19" s="6"/>
      <c r="AM19" s="10">
        <f t="shared" ref="AM19:AM20" si="10">AI19-AH19</f>
        <v>1482</v>
      </c>
      <c r="AN19" s="6">
        <v>1769</v>
      </c>
      <c r="AO19" s="10">
        <f>AJ19-AI19</f>
        <v>2326</v>
      </c>
      <c r="AP19" s="6">
        <v>1869</v>
      </c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6968952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480659.75</v>
      </c>
      <c r="G20" s="6">
        <v>481593.48</v>
      </c>
      <c r="H20" s="6">
        <v>482750.55</v>
      </c>
      <c r="I20" s="6"/>
      <c r="J20" s="6"/>
      <c r="K20" s="10">
        <f t="shared" si="8"/>
        <v>933.72999999998137</v>
      </c>
      <c r="L20" s="6">
        <v>1769</v>
      </c>
      <c r="M20" s="10">
        <f>H20-G20</f>
        <v>1157.070000000007</v>
      </c>
      <c r="N20" s="6">
        <v>1869</v>
      </c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3814332.1999999802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1255188</v>
      </c>
      <c r="AI20" s="6">
        <v>1256122</v>
      </c>
      <c r="AJ20" s="6">
        <v>1257279</v>
      </c>
      <c r="AK20" s="6"/>
      <c r="AL20" s="6"/>
      <c r="AM20" s="10">
        <f t="shared" si="10"/>
        <v>934</v>
      </c>
      <c r="AN20" s="6">
        <v>1769</v>
      </c>
      <c r="AO20" s="10">
        <f>AJ20-AI20</f>
        <v>1157</v>
      </c>
      <c r="AP20" s="6">
        <v>1869</v>
      </c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3814679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5899.039999999979</v>
      </c>
      <c r="F21" s="4"/>
      <c r="G21" s="4"/>
      <c r="H21" s="4"/>
      <c r="I21" s="4"/>
      <c r="J21" s="4"/>
      <c r="K21" s="19">
        <f>SUM(K19:K20)</f>
        <v>2415.4999999999418</v>
      </c>
      <c r="L21" s="6"/>
      <c r="M21" s="19">
        <f>SUM(M19:M20)</f>
        <v>3483.5400000000373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5899</v>
      </c>
      <c r="AH21" s="4"/>
      <c r="AI21" s="4"/>
      <c r="AJ21" s="4"/>
      <c r="AK21" s="4"/>
      <c r="AL21" s="4"/>
      <c r="AM21" s="19">
        <f>SUM(AM19:AM20)</f>
        <v>2416</v>
      </c>
      <c r="AN21" s="6"/>
      <c r="AO21" s="19">
        <f>SUM(AO19:AO20)</f>
        <v>3483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37135.299999999756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44434468.799999826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37140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43551773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45500</v>
      </c>
      <c r="G25" s="38">
        <v>41200</v>
      </c>
      <c r="H25" s="39">
        <f t="shared" ref="H25:H30" si="12">F25+V8-G25</f>
        <v>4300</v>
      </c>
      <c r="I25" s="39">
        <f>E6-H25</f>
        <v>263.76000000000931</v>
      </c>
      <c r="J25" s="40">
        <f>E6*0.085</f>
        <v>387.9196000000008</v>
      </c>
      <c r="K25" s="40">
        <f t="shared" ref="K25:K30" si="13">I25-J25</f>
        <v>-124.15959999999149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45500</v>
      </c>
      <c r="AI25" s="38">
        <v>41200</v>
      </c>
      <c r="AJ25" s="39">
        <f t="shared" ref="AJ25:AJ30" si="14">AH25+AX8-AI25</f>
        <v>4300</v>
      </c>
      <c r="AK25" s="39">
        <f>AG6-AJ25</f>
        <v>265</v>
      </c>
      <c r="AL25" s="40">
        <f>AG6*0.085</f>
        <v>388.02500000000003</v>
      </c>
      <c r="AM25" s="40">
        <f t="shared" ref="AM25:AM30" si="15">AK25-AL25</f>
        <v>-123.02500000000003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17800</v>
      </c>
      <c r="G26" s="38">
        <v>14600</v>
      </c>
      <c r="H26" s="39">
        <f t="shared" si="12"/>
        <v>3200</v>
      </c>
      <c r="I26" s="39">
        <f>E9-H26</f>
        <v>208.0899999999674</v>
      </c>
      <c r="J26" s="40">
        <f>E9*0.085</f>
        <v>289.68764999999723</v>
      </c>
      <c r="K26" s="40">
        <f t="shared" si="13"/>
        <v>-81.59765000002983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17800</v>
      </c>
      <c r="AI26" s="38">
        <v>14600</v>
      </c>
      <c r="AJ26" s="39">
        <f t="shared" si="14"/>
        <v>3200</v>
      </c>
      <c r="AK26" s="39">
        <f>AG9-AJ26</f>
        <v>208</v>
      </c>
      <c r="AL26" s="40">
        <f>AG9*0.085</f>
        <v>289.68</v>
      </c>
      <c r="AM26" s="40">
        <f t="shared" si="15"/>
        <v>-81.680000000000007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15800</v>
      </c>
      <c r="G27" s="38">
        <v>12850</v>
      </c>
      <c r="H27" s="39">
        <f t="shared" si="12"/>
        <v>2950</v>
      </c>
      <c r="I27" s="39">
        <f>E12-H27</f>
        <v>240.79999999993015</v>
      </c>
      <c r="J27" s="40">
        <f>E12*0.085</f>
        <v>271.21799999999411</v>
      </c>
      <c r="K27" s="40">
        <f t="shared" si="13"/>
        <v>-30.418000000063955</v>
      </c>
      <c r="L27" s="6"/>
      <c r="N27" s="22"/>
      <c r="O27" s="22"/>
      <c r="P27" s="22"/>
      <c r="U27" s="41" t="s">
        <v>30</v>
      </c>
      <c r="W27" s="42">
        <f>SUM(W17:W26)</f>
        <v>326858.21999999997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15800</v>
      </c>
      <c r="AI27" s="38">
        <v>12850</v>
      </c>
      <c r="AJ27" s="39">
        <f t="shared" si="14"/>
        <v>2950</v>
      </c>
      <c r="AK27" s="39">
        <f>AG12-AJ27</f>
        <v>241</v>
      </c>
      <c r="AL27" s="40">
        <f>AG12*0.085</f>
        <v>271.23500000000001</v>
      </c>
      <c r="AM27" s="40">
        <f t="shared" si="15"/>
        <v>-30.235000000000014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13850</v>
      </c>
      <c r="G28" s="38">
        <v>13050</v>
      </c>
      <c r="H28" s="39">
        <f t="shared" si="12"/>
        <v>800</v>
      </c>
      <c r="I28" s="39">
        <f>E15-H28</f>
        <v>-2.0000000018626451E-2</v>
      </c>
      <c r="J28" s="40">
        <f>E15*0.085</f>
        <v>67.998299999998423</v>
      </c>
      <c r="K28" s="40">
        <f t="shared" si="13"/>
        <v>-68.018300000017049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13850</v>
      </c>
      <c r="AI28" s="38">
        <v>13050</v>
      </c>
      <c r="AJ28" s="39">
        <f t="shared" si="14"/>
        <v>800</v>
      </c>
      <c r="AK28" s="39">
        <f>AG15-AJ28</f>
        <v>1</v>
      </c>
      <c r="AL28" s="40">
        <f>AG15*0.085</f>
        <v>68.085000000000008</v>
      </c>
      <c r="AM28" s="40">
        <f t="shared" si="15"/>
        <v>-67.085000000000008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2000</v>
      </c>
      <c r="G29" s="38">
        <v>31500</v>
      </c>
      <c r="H29" s="39">
        <f>F29+V12-G29</f>
        <v>9600</v>
      </c>
      <c r="I29" s="39">
        <f>E18-H29</f>
        <v>443.13000000000466</v>
      </c>
      <c r="J29" s="40">
        <f>E18*0.085</f>
        <v>853.6660500000005</v>
      </c>
      <c r="K29" s="40">
        <f t="shared" si="13"/>
        <v>-410.53604999999584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2000</v>
      </c>
      <c r="AI29" s="38">
        <v>31500</v>
      </c>
      <c r="AJ29" s="39">
        <f t="shared" si="14"/>
        <v>9600</v>
      </c>
      <c r="AK29" s="39">
        <f>AG18-AJ29</f>
        <v>443</v>
      </c>
      <c r="AL29" s="40">
        <f>AG18*0.085</f>
        <v>853.65500000000009</v>
      </c>
      <c r="AM29" s="40">
        <f t="shared" si="15"/>
        <v>-410.65500000000009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1350</v>
      </c>
      <c r="G30" s="38">
        <v>16500</v>
      </c>
      <c r="H30" s="39">
        <f t="shared" si="12"/>
        <v>5800</v>
      </c>
      <c r="I30" s="39">
        <f>E21-H30</f>
        <v>99.039999999979045</v>
      </c>
      <c r="J30" s="40">
        <f>E21*0.085</f>
        <v>501.41839999999826</v>
      </c>
      <c r="K30" s="40">
        <f t="shared" si="13"/>
        <v>-402.37840000001921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1350</v>
      </c>
      <c r="AI30" s="38">
        <v>16500</v>
      </c>
      <c r="AJ30" s="39">
        <f t="shared" si="14"/>
        <v>5800</v>
      </c>
      <c r="AK30" s="39">
        <f>AG21-AJ30</f>
        <v>99</v>
      </c>
      <c r="AL30" s="40">
        <f>AG21*0.085</f>
        <v>501.41500000000002</v>
      </c>
      <c r="AM30" s="40">
        <f t="shared" si="15"/>
        <v>-402.41500000000002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741630</v>
      </c>
      <c r="B33" s="45">
        <v>0</v>
      </c>
      <c r="C33" s="16">
        <v>0</v>
      </c>
      <c r="D33" s="16">
        <v>0</v>
      </c>
      <c r="E33" s="16">
        <v>568945</v>
      </c>
      <c r="F33" s="16">
        <v>0</v>
      </c>
      <c r="G33" s="16">
        <v>0</v>
      </c>
      <c r="H33" s="49">
        <v>0</v>
      </c>
      <c r="I33" s="16">
        <v>0</v>
      </c>
      <c r="J33" s="16">
        <v>5615585</v>
      </c>
      <c r="K33" s="16">
        <v>0</v>
      </c>
      <c r="L33" s="16">
        <v>1039600</v>
      </c>
      <c r="M33" s="16">
        <v>20578853.600000001</v>
      </c>
      <c r="N33" s="16">
        <v>0</v>
      </c>
      <c r="O33" s="16">
        <v>0</v>
      </c>
      <c r="P33" s="16">
        <v>934122</v>
      </c>
      <c r="Q33" s="16">
        <v>0</v>
      </c>
      <c r="R33" s="49">
        <v>0</v>
      </c>
      <c r="S33" s="16">
        <v>0</v>
      </c>
      <c r="T33" s="16">
        <v>7864049.1200000001</v>
      </c>
      <c r="U33" s="42">
        <f>SUM(S22-A33-B33-W27-C33-D33-E33-F33-G33-H33-I33-J33-K33-L33-M33-N33-O33-P33-Q33-R33-J35-K35-L35-M35-N35-O35-P35-Q35-S33+T33)</f>
        <v>14327558.939999826</v>
      </c>
      <c r="W33" s="2"/>
      <c r="X33" s="2"/>
      <c r="Y33" s="6"/>
      <c r="Z33" s="2"/>
      <c r="AA33" s="2"/>
      <c r="AB33" s="2"/>
      <c r="AC33" s="2"/>
      <c r="AD33" s="45">
        <v>2796439.37</v>
      </c>
      <c r="AE33" s="16">
        <v>0</v>
      </c>
      <c r="AF33" s="16">
        <v>0</v>
      </c>
      <c r="AG33" s="16">
        <v>0</v>
      </c>
      <c r="AH33" s="16">
        <v>0</v>
      </c>
      <c r="AI33" s="16">
        <v>892600</v>
      </c>
      <c r="AJ33" s="49">
        <v>1349385.91</v>
      </c>
      <c r="AK33" s="16">
        <v>1141702</v>
      </c>
      <c r="AL33" s="16">
        <v>13171318.52</v>
      </c>
      <c r="AM33" s="16">
        <v>35000</v>
      </c>
      <c r="AN33" s="16">
        <v>990637.16</v>
      </c>
      <c r="AO33" s="16">
        <v>0</v>
      </c>
      <c r="AP33" s="16">
        <v>0</v>
      </c>
      <c r="AQ33" s="16">
        <v>735976.65</v>
      </c>
      <c r="AR33" s="16">
        <v>0</v>
      </c>
      <c r="AS33" s="16">
        <v>869043</v>
      </c>
      <c r="AT33" s="49">
        <v>0</v>
      </c>
      <c r="AU33" s="16">
        <v>793580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1014365</v>
      </c>
      <c r="N35" s="16">
        <v>0</v>
      </c>
      <c r="O35" s="16">
        <v>4055252</v>
      </c>
      <c r="P35" s="16">
        <v>1603648.16</v>
      </c>
      <c r="Q35" s="16">
        <v>1492100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M15" workbookViewId="0">
      <selection activeCell="O37" sqref="O37"/>
    </sheetView>
  </sheetViews>
  <sheetFormatPr defaultRowHeight="15" x14ac:dyDescent="0.25"/>
  <cols>
    <col min="9" max="9" width="10" bestFit="1" customWidth="1"/>
    <col min="10" max="10" width="10.85546875" bestFit="1" customWidth="1"/>
    <col min="11" max="11" width="10" bestFit="1" customWidth="1"/>
    <col min="19" max="19" width="12" bestFit="1" customWidth="1"/>
    <col min="20" max="20" width="10.85546875" bestFit="1" customWidth="1"/>
    <col min="21" max="21" width="14.7109375" bestFit="1" customWidth="1"/>
  </cols>
  <sheetData>
    <row r="1" spans="1:51" x14ac:dyDescent="0.25">
      <c r="A1" s="1">
        <v>46269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1041157.65</v>
      </c>
      <c r="G4" s="4">
        <v>1042391.95</v>
      </c>
      <c r="H4" s="4">
        <v>1042391.95</v>
      </c>
      <c r="I4" s="4"/>
      <c r="J4" s="4"/>
      <c r="K4" s="10">
        <f>G4-F4</f>
        <v>1234.2999999999302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1591012.6999999098</v>
      </c>
      <c r="T4" s="6"/>
      <c r="U4" s="7" t="s">
        <v>9</v>
      </c>
      <c r="V4" s="11">
        <f>E6+E9+E12+E15</f>
        <v>11308.100000000093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1041185</v>
      </c>
      <c r="AI4" s="4">
        <v>1042419</v>
      </c>
      <c r="AJ4" s="4">
        <v>1042419</v>
      </c>
      <c r="AK4" s="4"/>
      <c r="AL4" s="4"/>
      <c r="AM4" s="10">
        <f>AI4-AH4</f>
        <v>1234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1499310</v>
      </c>
      <c r="AV4" s="6"/>
      <c r="AW4" s="7" t="s">
        <v>9</v>
      </c>
      <c r="AX4" s="11">
        <f>AG6+AG9+AG12+AG15</f>
        <v>11307</v>
      </c>
      <c r="AY4" s="11"/>
    </row>
    <row r="5" spans="1:51" x14ac:dyDescent="0.25">
      <c r="C5" s="2"/>
      <c r="D5" s="4"/>
      <c r="E5" s="4" t="s">
        <v>11</v>
      </c>
      <c r="F5" s="4">
        <v>1325159.17</v>
      </c>
      <c r="G5" s="4">
        <v>1327361.58</v>
      </c>
      <c r="H5" s="4">
        <v>1327361.58</v>
      </c>
      <c r="I5" s="4"/>
      <c r="J5" s="4"/>
      <c r="K5" s="10">
        <f>G5-F5</f>
        <v>2202.410000000149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2838906.4900001921</v>
      </c>
      <c r="T5" s="6"/>
      <c r="U5" s="7" t="s">
        <v>12</v>
      </c>
      <c r="V5" s="15">
        <f>E18+E21</f>
        <v>16343.399999999965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1325194</v>
      </c>
      <c r="AI5" s="4">
        <v>1327396</v>
      </c>
      <c r="AJ5" s="4">
        <v>1327396</v>
      </c>
      <c r="AK5" s="4"/>
      <c r="AL5" s="4"/>
      <c r="AM5" s="10">
        <f>AI5-AH5</f>
        <v>2202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2675430</v>
      </c>
      <c r="AV5" s="6"/>
      <c r="AW5" s="7" t="s">
        <v>12</v>
      </c>
      <c r="AX5" s="15">
        <f>AG18+AG21</f>
        <v>16345</v>
      </c>
      <c r="AY5" s="15"/>
    </row>
    <row r="6" spans="1:51" x14ac:dyDescent="0.25">
      <c r="C6" s="2"/>
      <c r="D6" s="18" t="s">
        <v>14</v>
      </c>
      <c r="E6" s="3">
        <f>K6+M6+O6+Q6</f>
        <v>3436.7100000000792</v>
      </c>
      <c r="F6" s="4"/>
      <c r="G6" s="4"/>
      <c r="H6" s="4"/>
      <c r="I6" s="4"/>
      <c r="J6" s="4"/>
      <c r="K6" s="19">
        <f>SUM(K4:K5)</f>
        <v>3436.7100000000792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3436</v>
      </c>
      <c r="AH6" s="4"/>
      <c r="AI6" s="4"/>
      <c r="AJ6" s="4"/>
      <c r="AK6" s="4"/>
      <c r="AL6" s="4"/>
      <c r="AM6" s="19">
        <f>SUM(AM4:AM5)</f>
        <v>3436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703462.84</v>
      </c>
      <c r="G7" s="4">
        <v>706194.25</v>
      </c>
      <c r="H7" s="4">
        <v>706194.25</v>
      </c>
      <c r="I7" s="4"/>
      <c r="J7" s="4"/>
      <c r="K7" s="10">
        <f>G7-F7</f>
        <v>2731.4100000000326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3520787.4900000421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703505</v>
      </c>
      <c r="AI7" s="4">
        <v>706236</v>
      </c>
      <c r="AJ7" s="4">
        <v>706236</v>
      </c>
      <c r="AK7" s="4"/>
      <c r="AL7" s="4"/>
      <c r="AM7" s="10">
        <f>AI7-AH7</f>
        <v>2731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3318165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1105299.96</v>
      </c>
      <c r="G8" s="6">
        <v>1106540.8500000001</v>
      </c>
      <c r="H8" s="6">
        <v>1106540.8500000001</v>
      </c>
      <c r="I8" s="6"/>
      <c r="J8" s="6"/>
      <c r="K8" s="10">
        <f>G8-F8</f>
        <v>1240.8900000001304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1599507.2100001681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1105342</v>
      </c>
      <c r="AI8" s="6">
        <v>1106583</v>
      </c>
      <c r="AJ8" s="6">
        <v>1106583</v>
      </c>
      <c r="AK8" s="6"/>
      <c r="AL8" s="6"/>
      <c r="AM8" s="10">
        <f>AI8-AH8</f>
        <v>1241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1507815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3972.300000000163</v>
      </c>
      <c r="F9" s="4"/>
      <c r="G9" s="4"/>
      <c r="H9" s="4"/>
      <c r="I9" s="4"/>
      <c r="J9" s="4"/>
      <c r="K9" s="19">
        <f>SUM(K7:K8)</f>
        <v>3972.300000000163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3972</v>
      </c>
      <c r="AH9" s="4"/>
      <c r="AI9" s="4"/>
      <c r="AJ9" s="4"/>
      <c r="AK9" s="4"/>
      <c r="AL9" s="4"/>
      <c r="AM9" s="19">
        <f>SUM(AM7:AM8)</f>
        <v>3972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593085.09</v>
      </c>
      <c r="G10" s="6">
        <v>594493.48</v>
      </c>
      <c r="H10" s="6">
        <v>594493.48</v>
      </c>
      <c r="I10" s="6"/>
      <c r="J10" s="6"/>
      <c r="K10" s="10">
        <f>G10-F10</f>
        <v>1408.390000000014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1815414.7100000181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593091</v>
      </c>
      <c r="AI10" s="6">
        <v>594499</v>
      </c>
      <c r="AJ10" s="6">
        <v>594499</v>
      </c>
      <c r="AK10" s="6"/>
      <c r="AL10" s="6"/>
      <c r="AM10" s="10">
        <f>AI10-AH10</f>
        <v>1408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1710720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937718.05</v>
      </c>
      <c r="G11" s="6">
        <v>939357.47</v>
      </c>
      <c r="H11" s="6">
        <v>939357.47</v>
      </c>
      <c r="I11" s="6"/>
      <c r="J11" s="6"/>
      <c r="K11" s="10">
        <f>G11-F11</f>
        <v>1639.4199999999255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2113212.379999904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937759</v>
      </c>
      <c r="AI11" s="6">
        <v>939399</v>
      </c>
      <c r="AJ11" s="6">
        <v>939399</v>
      </c>
      <c r="AK11" s="6"/>
      <c r="AL11" s="6"/>
      <c r="AM11" s="10">
        <f>AI11-AH11</f>
        <v>1640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1992600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3047.8099999999395</v>
      </c>
      <c r="F12" s="4"/>
      <c r="G12" s="4"/>
      <c r="H12" s="4"/>
      <c r="I12" s="4"/>
      <c r="J12" s="4"/>
      <c r="K12" s="19">
        <f>SUM(K10:K11)</f>
        <v>3047.8099999999395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3048</v>
      </c>
      <c r="AH12" s="4"/>
      <c r="AI12" s="4"/>
      <c r="AJ12" s="4"/>
      <c r="AK12" s="4"/>
      <c r="AL12" s="4"/>
      <c r="AM12" s="19">
        <f>SUM(AM10:AM11)</f>
        <v>3048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526516.93999999994</v>
      </c>
      <c r="G13" s="6">
        <v>527363.56999999995</v>
      </c>
      <c r="H13" s="6">
        <v>527363.56999999995</v>
      </c>
      <c r="I13" s="6"/>
      <c r="J13" s="6"/>
      <c r="K13" s="10">
        <f>G13-F13</f>
        <v>846.63000000000466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1091306.0700000059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526559</v>
      </c>
      <c r="AI13" s="6">
        <v>527405</v>
      </c>
      <c r="AJ13" s="6">
        <v>527405</v>
      </c>
      <c r="AK13" s="6"/>
      <c r="AL13" s="6"/>
      <c r="AM13" s="10">
        <f>AI13-AH13</f>
        <v>846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1027890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930917.8</v>
      </c>
      <c r="G14" s="4">
        <v>930922.45</v>
      </c>
      <c r="H14" s="4">
        <v>930922.45</v>
      </c>
      <c r="I14" s="4"/>
      <c r="J14" s="4"/>
      <c r="K14" s="10">
        <f>G14-F14</f>
        <v>4.6499999999068677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5993.8499998799525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930950</v>
      </c>
      <c r="AI14" s="4">
        <v>930955</v>
      </c>
      <c r="AJ14" s="4">
        <v>930955</v>
      </c>
      <c r="AK14" s="4"/>
      <c r="AL14" s="4"/>
      <c r="AM14" s="10">
        <f>AI14-AH14</f>
        <v>5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6075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851.27999999991152</v>
      </c>
      <c r="F15" s="4"/>
      <c r="G15" s="4"/>
      <c r="H15" s="4"/>
      <c r="I15" s="4"/>
      <c r="J15" s="4"/>
      <c r="K15" s="19">
        <f>SUM(K13:K14)</f>
        <v>851.27999999991152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851</v>
      </c>
      <c r="AH15" s="4"/>
      <c r="AI15" s="4"/>
      <c r="AJ15" s="4"/>
      <c r="AK15" s="4"/>
      <c r="AL15" s="4"/>
      <c r="AM15" s="19">
        <f>SUM(AM13:AM14)</f>
        <v>851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686151.59</v>
      </c>
      <c r="G16" s="4">
        <v>692488.34</v>
      </c>
      <c r="H16" s="4">
        <v>692488.34</v>
      </c>
      <c r="I16" s="4"/>
      <c r="J16" s="4"/>
      <c r="K16" s="10">
        <f>G16-F16</f>
        <v>6336.75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11843385.75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2040523</v>
      </c>
      <c r="AI16" s="4">
        <v>2046860</v>
      </c>
      <c r="AJ16" s="4">
        <v>2046860</v>
      </c>
      <c r="AK16" s="4"/>
      <c r="AL16" s="4"/>
      <c r="AM16" s="10">
        <f>AI16-AH16</f>
        <v>6337</v>
      </c>
      <c r="AN16" s="6">
        <v>1769</v>
      </c>
      <c r="AO16" s="10">
        <f>AJ16-AI16</f>
        <v>0</v>
      </c>
      <c r="AP16" s="6">
        <v>1869</v>
      </c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11210153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684026.65</v>
      </c>
      <c r="G17" s="6">
        <v>688349.12</v>
      </c>
      <c r="H17" s="6">
        <v>688349.12</v>
      </c>
      <c r="I17" s="6"/>
      <c r="J17" s="6"/>
      <c r="K17" s="10">
        <f>G17-F17</f>
        <v>4322.4699999999721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8078696.4299999475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1717468</v>
      </c>
      <c r="AI17" s="6">
        <v>1721791</v>
      </c>
      <c r="AJ17" s="6">
        <v>1721791</v>
      </c>
      <c r="AK17" s="6"/>
      <c r="AL17" s="6"/>
      <c r="AM17" s="10">
        <f>AI17-AH17</f>
        <v>4323</v>
      </c>
      <c r="AN17" s="6">
        <v>1769</v>
      </c>
      <c r="AO17" s="10">
        <f>AJ17-AI17</f>
        <v>0</v>
      </c>
      <c r="AP17" s="6">
        <v>1869</v>
      </c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7647387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10659.219999999972</v>
      </c>
      <c r="F18" s="4"/>
      <c r="G18" s="4"/>
      <c r="H18" s="4"/>
      <c r="I18" s="4"/>
      <c r="J18" s="4"/>
      <c r="K18" s="19">
        <f>SUM(K16:K17)</f>
        <v>10659.219999999972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10660</v>
      </c>
      <c r="AH18" s="4"/>
      <c r="AI18" s="4"/>
      <c r="AJ18" s="4"/>
      <c r="AK18" s="4"/>
      <c r="AL18" s="4"/>
      <c r="AM18" s="19">
        <f>SUM(AM16:AM17)</f>
        <v>10660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389004.89</v>
      </c>
      <c r="G19" s="6">
        <v>393123.49</v>
      </c>
      <c r="H19" s="6">
        <v>393123.49</v>
      </c>
      <c r="I19" s="6"/>
      <c r="J19" s="6"/>
      <c r="K19" s="10">
        <f t="shared" ref="K19:K20" si="8">G19-F19</f>
        <v>4118.5999999999767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7697663.3999999566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1229016</v>
      </c>
      <c r="AI19" s="6">
        <v>1233135</v>
      </c>
      <c r="AJ19" s="6">
        <v>1233135</v>
      </c>
      <c r="AK19" s="6"/>
      <c r="AL19" s="6"/>
      <c r="AM19" s="10">
        <f t="shared" ref="AM19:AM20" si="10">AI19-AH19</f>
        <v>4119</v>
      </c>
      <c r="AN19" s="6">
        <v>1769</v>
      </c>
      <c r="AO19" s="10">
        <f>AJ19-AI19</f>
        <v>0</v>
      </c>
      <c r="AP19" s="6">
        <v>1869</v>
      </c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7286511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482750.55</v>
      </c>
      <c r="G20" s="6">
        <v>484316.13</v>
      </c>
      <c r="H20" s="6">
        <v>484316.13</v>
      </c>
      <c r="I20" s="6"/>
      <c r="J20" s="6"/>
      <c r="K20" s="10">
        <f t="shared" si="8"/>
        <v>1565.5800000000163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2926069.0200000303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1257279</v>
      </c>
      <c r="AI20" s="6">
        <v>1258845</v>
      </c>
      <c r="AJ20" s="6">
        <v>1258845</v>
      </c>
      <c r="AK20" s="6"/>
      <c r="AL20" s="6"/>
      <c r="AM20" s="10">
        <f t="shared" si="10"/>
        <v>1566</v>
      </c>
      <c r="AN20" s="6">
        <v>1769</v>
      </c>
      <c r="AO20" s="10">
        <f>AJ20-AI20</f>
        <v>0</v>
      </c>
      <c r="AP20" s="6">
        <v>1869</v>
      </c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2770254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5684.179999999993</v>
      </c>
      <c r="F21" s="4"/>
      <c r="G21" s="4"/>
      <c r="H21" s="4"/>
      <c r="I21" s="4"/>
      <c r="J21" s="4"/>
      <c r="K21" s="19">
        <f>SUM(K19:K20)</f>
        <v>5684.179999999993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5685</v>
      </c>
      <c r="AH21" s="4"/>
      <c r="AI21" s="4"/>
      <c r="AJ21" s="4"/>
      <c r="AK21" s="4"/>
      <c r="AL21" s="4"/>
      <c r="AM21" s="19">
        <f>SUM(AM19:AM20)</f>
        <v>5685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49618.820000000123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45121955.500000052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49619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42652310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41200</v>
      </c>
      <c r="G25" s="38">
        <v>38100</v>
      </c>
      <c r="H25" s="39">
        <f t="shared" ref="H25:H30" si="12">F25+V8-G25</f>
        <v>3100</v>
      </c>
      <c r="I25" s="39">
        <f>E6-H25</f>
        <v>336.71000000007916</v>
      </c>
      <c r="J25" s="40">
        <f>E6*0.085</f>
        <v>292.12035000000674</v>
      </c>
      <c r="K25" s="40">
        <f t="shared" ref="K25:K30" si="13">I25-J25</f>
        <v>44.589650000072425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41200</v>
      </c>
      <c r="AI25" s="38">
        <v>38100</v>
      </c>
      <c r="AJ25" s="39">
        <f t="shared" ref="AJ25:AJ30" si="14">AH25+AX8-AI25</f>
        <v>3100</v>
      </c>
      <c r="AK25" s="39">
        <f>AG6-AJ25</f>
        <v>336</v>
      </c>
      <c r="AL25" s="40">
        <f>AG6*0.085</f>
        <v>292.06</v>
      </c>
      <c r="AM25" s="40">
        <f t="shared" ref="AM25:AM30" si="15">AK25-AL25</f>
        <v>43.94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14600</v>
      </c>
      <c r="G26" s="38">
        <v>10900</v>
      </c>
      <c r="H26" s="39">
        <f t="shared" si="12"/>
        <v>3700</v>
      </c>
      <c r="I26" s="39">
        <f>E9-H26</f>
        <v>272.30000000016298</v>
      </c>
      <c r="J26" s="40">
        <f>E9*0.085</f>
        <v>337.6455000000139</v>
      </c>
      <c r="K26" s="40">
        <f t="shared" si="13"/>
        <v>-65.345499999850915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14600</v>
      </c>
      <c r="AI26" s="38">
        <v>10900</v>
      </c>
      <c r="AJ26" s="39">
        <f t="shared" si="14"/>
        <v>3700</v>
      </c>
      <c r="AK26" s="39">
        <f>AG9-AJ26</f>
        <v>272</v>
      </c>
      <c r="AL26" s="40">
        <f>AG9*0.085</f>
        <v>337.62</v>
      </c>
      <c r="AM26" s="40">
        <f t="shared" si="15"/>
        <v>-65.62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12850</v>
      </c>
      <c r="G27" s="38">
        <v>10000</v>
      </c>
      <c r="H27" s="39">
        <f t="shared" si="12"/>
        <v>2850</v>
      </c>
      <c r="I27" s="39">
        <f>E12-H27</f>
        <v>197.80999999993946</v>
      </c>
      <c r="J27" s="40">
        <f>E12*0.085</f>
        <v>259.06384999999489</v>
      </c>
      <c r="K27" s="40">
        <f t="shared" si="13"/>
        <v>-61.253850000055422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12850</v>
      </c>
      <c r="AI27" s="38">
        <v>10000</v>
      </c>
      <c r="AJ27" s="39">
        <f t="shared" si="14"/>
        <v>2850</v>
      </c>
      <c r="AK27" s="39">
        <f>AG12-AJ27</f>
        <v>198</v>
      </c>
      <c r="AL27" s="40">
        <f>AG12*0.085</f>
        <v>259.08000000000004</v>
      </c>
      <c r="AM27" s="40">
        <f t="shared" si="15"/>
        <v>-61.080000000000041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13050</v>
      </c>
      <c r="G28" s="38">
        <v>12250</v>
      </c>
      <c r="H28" s="39">
        <f t="shared" si="12"/>
        <v>800</v>
      </c>
      <c r="I28" s="39">
        <f>E15-H28</f>
        <v>51.279999999911524</v>
      </c>
      <c r="J28" s="40">
        <f>E15*0.085</f>
        <v>72.358799999992485</v>
      </c>
      <c r="K28" s="40">
        <f t="shared" si="13"/>
        <v>-21.07880000008096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13050</v>
      </c>
      <c r="AI28" s="38">
        <v>12250</v>
      </c>
      <c r="AJ28" s="39">
        <f t="shared" si="14"/>
        <v>800</v>
      </c>
      <c r="AK28" s="39">
        <f>AG15-AJ28</f>
        <v>51</v>
      </c>
      <c r="AL28" s="40">
        <f>AG15*0.085</f>
        <v>72.335000000000008</v>
      </c>
      <c r="AM28" s="40">
        <f t="shared" si="15"/>
        <v>-21.335000000000008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31500</v>
      </c>
      <c r="G29" s="38">
        <v>21500</v>
      </c>
      <c r="H29" s="39">
        <f>F29+V12-G29</f>
        <v>10000</v>
      </c>
      <c r="I29" s="39">
        <f>E18-H29</f>
        <v>659.21999999997206</v>
      </c>
      <c r="J29" s="40">
        <f>E18*0.085</f>
        <v>906.03369999999768</v>
      </c>
      <c r="K29" s="40">
        <f t="shared" si="13"/>
        <v>-246.81370000002562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31500</v>
      </c>
      <c r="AI29" s="38">
        <v>21500</v>
      </c>
      <c r="AJ29" s="39">
        <f t="shared" si="14"/>
        <v>10000</v>
      </c>
      <c r="AK29" s="39">
        <f>AG18-AJ29</f>
        <v>660</v>
      </c>
      <c r="AL29" s="40">
        <f>AG18*0.085</f>
        <v>906.1</v>
      </c>
      <c r="AM29" s="40">
        <f t="shared" si="15"/>
        <v>-246.10000000000002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16500</v>
      </c>
      <c r="G30" s="38">
        <v>11200</v>
      </c>
      <c r="H30" s="39">
        <f t="shared" si="12"/>
        <v>5300</v>
      </c>
      <c r="I30" s="39">
        <f>E21-H30</f>
        <v>384.17999999999302</v>
      </c>
      <c r="J30" s="40">
        <f>E21*0.085</f>
        <v>483.15529999999944</v>
      </c>
      <c r="K30" s="40">
        <f t="shared" si="13"/>
        <v>-98.975300000006428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16500</v>
      </c>
      <c r="AI30" s="38">
        <v>11200</v>
      </c>
      <c r="AJ30" s="39">
        <f t="shared" si="14"/>
        <v>5300</v>
      </c>
      <c r="AK30" s="39">
        <f>AG21-AJ30</f>
        <v>385</v>
      </c>
      <c r="AL30" s="40">
        <f>AG21*0.085</f>
        <v>483.22500000000002</v>
      </c>
      <c r="AM30" s="40">
        <f t="shared" si="15"/>
        <v>-98.225000000000023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1365600</v>
      </c>
      <c r="B33" s="45">
        <v>0</v>
      </c>
      <c r="C33" s="16">
        <v>0</v>
      </c>
      <c r="D33" s="16">
        <v>0</v>
      </c>
      <c r="E33" s="16">
        <v>0</v>
      </c>
      <c r="F33" s="16">
        <v>0</v>
      </c>
      <c r="G33" s="16">
        <v>501527</v>
      </c>
      <c r="H33" s="49">
        <v>322356</v>
      </c>
      <c r="I33" s="16">
        <v>1393530</v>
      </c>
      <c r="J33" s="16">
        <v>25392804.09</v>
      </c>
      <c r="K33" s="16">
        <v>7101849</v>
      </c>
      <c r="L33" s="16">
        <v>0</v>
      </c>
      <c r="M33" s="16">
        <v>505150</v>
      </c>
      <c r="N33" s="16">
        <v>0</v>
      </c>
      <c r="O33" s="16">
        <v>563100</v>
      </c>
      <c r="P33" s="16">
        <v>0</v>
      </c>
      <c r="Q33" s="16">
        <v>0</v>
      </c>
      <c r="R33" s="49">
        <v>0</v>
      </c>
      <c r="S33" s="16">
        <v>1243030.3999999999</v>
      </c>
      <c r="T33" s="16">
        <v>14327558.939999999</v>
      </c>
      <c r="U33" s="42">
        <f>SUM(S22-A33-B33-W27-C33-D33-E33-F33-G33-H33-I33-J33-K33-L33-M33-N33-O33-P33-Q33-R33-J35-K35-L35-M35-N35-O35-P35-Q35-S33+T33)</f>
        <v>19026894.030000053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1155473.43</v>
      </c>
      <c r="K35" s="16"/>
      <c r="L35" s="16">
        <v>0</v>
      </c>
      <c r="M35" s="16">
        <v>0</v>
      </c>
      <c r="N35" s="16">
        <v>878200.49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N16" workbookViewId="0">
      <selection activeCell="O38" sqref="O38"/>
    </sheetView>
  </sheetViews>
  <sheetFormatPr defaultRowHeight="15" x14ac:dyDescent="0.25"/>
  <cols>
    <col min="10" max="10" width="10.85546875" bestFit="1" customWidth="1"/>
    <col min="12" max="12" width="10" bestFit="1" customWidth="1"/>
    <col min="13" max="13" width="10.85546875" bestFit="1" customWidth="1"/>
    <col min="15" max="15" width="10" bestFit="1" customWidth="1"/>
    <col min="17" max="17" width="10" bestFit="1" customWidth="1"/>
    <col min="19" max="19" width="13.42578125" customWidth="1"/>
    <col min="20" max="20" width="10.85546875" bestFit="1" customWidth="1"/>
    <col min="21" max="21" width="11.85546875" customWidth="1"/>
  </cols>
  <sheetData>
    <row r="1" spans="1:51" x14ac:dyDescent="0.25">
      <c r="A1" s="1">
        <v>46270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1042391.95</v>
      </c>
      <c r="G4" s="4">
        <v>1044030.45</v>
      </c>
      <c r="H4" s="4">
        <v>1044030.45</v>
      </c>
      <c r="I4" s="4"/>
      <c r="J4" s="4"/>
      <c r="K4" s="10">
        <f>G4-F4</f>
        <v>1638.5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2112026.5</v>
      </c>
      <c r="T4" s="6"/>
      <c r="U4" s="7" t="s">
        <v>9</v>
      </c>
      <c r="V4" s="11">
        <f>E6+E9+E12+E15</f>
        <v>10042.270000000019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1042419</v>
      </c>
      <c r="AI4" s="4">
        <v>1044058</v>
      </c>
      <c r="AJ4" s="4">
        <v>1044058</v>
      </c>
      <c r="AK4" s="4"/>
      <c r="AL4" s="4"/>
      <c r="AM4" s="10">
        <f>AI4-AH4</f>
        <v>1639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1991385</v>
      </c>
      <c r="AV4" s="6"/>
      <c r="AW4" s="7" t="s">
        <v>9</v>
      </c>
      <c r="AX4" s="11">
        <f>AG6+AG9+AG12+AG15</f>
        <v>10043</v>
      </c>
      <c r="AY4" s="11"/>
    </row>
    <row r="5" spans="1:51" x14ac:dyDescent="0.25">
      <c r="C5" s="2"/>
      <c r="D5" s="4"/>
      <c r="E5" s="4" t="s">
        <v>11</v>
      </c>
      <c r="F5" s="4">
        <v>1327361.58</v>
      </c>
      <c r="G5" s="4">
        <v>1330024.05</v>
      </c>
      <c r="H5" s="4">
        <v>1330024.05</v>
      </c>
      <c r="I5" s="4"/>
      <c r="J5" s="4"/>
      <c r="K5" s="10">
        <f>G5-F5</f>
        <v>2662.4699999999721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3431923.8299999638</v>
      </c>
      <c r="T5" s="6"/>
      <c r="U5" s="7" t="s">
        <v>12</v>
      </c>
      <c r="V5" s="15">
        <f>E18+E21</f>
        <v>14018.469999999914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1327396</v>
      </c>
      <c r="AI5" s="4">
        <v>1330058</v>
      </c>
      <c r="AJ5" s="4">
        <v>1330058</v>
      </c>
      <c r="AK5" s="4"/>
      <c r="AL5" s="4"/>
      <c r="AM5" s="10">
        <f>AI5-AH5</f>
        <v>2662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3234330</v>
      </c>
      <c r="AV5" s="6"/>
      <c r="AW5" s="7" t="s">
        <v>12</v>
      </c>
      <c r="AX5" s="15">
        <f>AG18+AG21</f>
        <v>14019</v>
      </c>
      <c r="AY5" s="15"/>
    </row>
    <row r="6" spans="1:51" x14ac:dyDescent="0.25">
      <c r="C6" s="2"/>
      <c r="D6" s="18" t="s">
        <v>14</v>
      </c>
      <c r="E6" s="3">
        <f>K6+M6+O6+Q6</f>
        <v>4300.9699999999721</v>
      </c>
      <c r="F6" s="4"/>
      <c r="G6" s="4"/>
      <c r="H6" s="4"/>
      <c r="I6" s="4"/>
      <c r="J6" s="4"/>
      <c r="K6" s="19">
        <f>SUM(K4:K5)</f>
        <v>4300.9699999999721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4301</v>
      </c>
      <c r="AH6" s="4"/>
      <c r="AI6" s="4"/>
      <c r="AJ6" s="4"/>
      <c r="AK6" s="4"/>
      <c r="AL6" s="4"/>
      <c r="AM6" s="19">
        <f>SUM(AM4:AM5)</f>
        <v>4301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706194.25</v>
      </c>
      <c r="G7" s="4">
        <v>708524.2</v>
      </c>
      <c r="H7" s="4">
        <v>708524.2</v>
      </c>
      <c r="I7" s="4"/>
      <c r="J7" s="4"/>
      <c r="K7" s="10">
        <f>G7-F7</f>
        <v>2329.9499999999534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3003305.5499999402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706236</v>
      </c>
      <c r="AI7" s="4">
        <v>708566</v>
      </c>
      <c r="AJ7" s="4">
        <v>708566</v>
      </c>
      <c r="AK7" s="4"/>
      <c r="AL7" s="4"/>
      <c r="AM7" s="10">
        <f>AI7-AH7</f>
        <v>2330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2830950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1106540.8500000001</v>
      </c>
      <c r="G8" s="6">
        <v>1106540.8500000001</v>
      </c>
      <c r="H8" s="6">
        <v>1106540.8500000001</v>
      </c>
      <c r="I8" s="6"/>
      <c r="J8" s="6"/>
      <c r="K8" s="10">
        <f>G8-F8</f>
        <v>0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0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1106583</v>
      </c>
      <c r="AI8" s="6">
        <v>1106583</v>
      </c>
      <c r="AJ8" s="6">
        <v>1106583</v>
      </c>
      <c r="AK8" s="6"/>
      <c r="AL8" s="6"/>
      <c r="AM8" s="10">
        <f>AI8-AH8</f>
        <v>0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0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2329.9499999999534</v>
      </c>
      <c r="F9" s="4"/>
      <c r="G9" s="4"/>
      <c r="H9" s="4"/>
      <c r="I9" s="4"/>
      <c r="J9" s="4"/>
      <c r="K9" s="19">
        <f>SUM(K7:K8)</f>
        <v>2329.9499999999534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>
        <v>15750</v>
      </c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2330</v>
      </c>
      <c r="AH9" s="4"/>
      <c r="AI9" s="4"/>
      <c r="AJ9" s="4"/>
      <c r="AK9" s="4"/>
      <c r="AL9" s="4"/>
      <c r="AM9" s="19">
        <f>SUM(AM7:AM8)</f>
        <v>2330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>
        <v>15750</v>
      </c>
      <c r="AY9" s="23"/>
    </row>
    <row r="10" spans="1:51" x14ac:dyDescent="0.25">
      <c r="C10" s="2"/>
      <c r="D10" s="18"/>
      <c r="E10" s="4" t="s">
        <v>22</v>
      </c>
      <c r="F10" s="6">
        <v>594493.48</v>
      </c>
      <c r="G10" s="6">
        <v>595691.89</v>
      </c>
      <c r="H10" s="6">
        <v>595691.89</v>
      </c>
      <c r="I10" s="6"/>
      <c r="J10" s="6"/>
      <c r="K10" s="10">
        <f>G10-F10</f>
        <v>1198.4100000000326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1544750.4900000421</v>
      </c>
      <c r="T10" s="6"/>
      <c r="U10" s="7" t="s">
        <v>16</v>
      </c>
      <c r="V10" s="23">
        <v>13400</v>
      </c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594499</v>
      </c>
      <c r="AI10" s="6">
        <v>595698</v>
      </c>
      <c r="AJ10" s="6">
        <v>595698</v>
      </c>
      <c r="AK10" s="6"/>
      <c r="AL10" s="6"/>
      <c r="AM10" s="10">
        <f>AI10-AH10</f>
        <v>1199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1456785</v>
      </c>
      <c r="AV10" s="6"/>
      <c r="AW10" s="7" t="s">
        <v>16</v>
      </c>
      <c r="AX10" s="23">
        <v>13400</v>
      </c>
      <c r="AY10" s="23"/>
    </row>
    <row r="11" spans="1:51" x14ac:dyDescent="0.25">
      <c r="C11" s="2"/>
      <c r="D11" s="2"/>
      <c r="E11" s="4" t="s">
        <v>23</v>
      </c>
      <c r="F11" s="6">
        <v>939357.47</v>
      </c>
      <c r="G11" s="6">
        <v>941078.35</v>
      </c>
      <c r="H11" s="6">
        <v>941078.35</v>
      </c>
      <c r="I11" s="6"/>
      <c r="J11" s="6"/>
      <c r="K11" s="10">
        <f>G11-F11</f>
        <v>1720.8800000000047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2218214.3200000059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939399</v>
      </c>
      <c r="AI11" s="6">
        <v>941120</v>
      </c>
      <c r="AJ11" s="6">
        <v>941120</v>
      </c>
      <c r="AK11" s="6"/>
      <c r="AL11" s="6"/>
      <c r="AM11" s="10">
        <f>AI11-AH11</f>
        <v>1721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2091015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2919.2900000000373</v>
      </c>
      <c r="F12" s="4"/>
      <c r="G12" s="4"/>
      <c r="H12" s="4"/>
      <c r="I12" s="4"/>
      <c r="J12" s="4"/>
      <c r="K12" s="19">
        <f>SUM(K10:K11)</f>
        <v>2919.2900000000373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2920</v>
      </c>
      <c r="AH12" s="4"/>
      <c r="AI12" s="4"/>
      <c r="AJ12" s="4"/>
      <c r="AK12" s="4"/>
      <c r="AL12" s="4"/>
      <c r="AM12" s="19">
        <f>SUM(AM10:AM11)</f>
        <v>2920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527363.56999999995</v>
      </c>
      <c r="G13" s="6">
        <v>527855.63</v>
      </c>
      <c r="H13" s="6">
        <v>527855.63</v>
      </c>
      <c r="I13" s="6"/>
      <c r="J13" s="6"/>
      <c r="K13" s="10">
        <f>G13-F13</f>
        <v>492.06000000005588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634265.34000007203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527405</v>
      </c>
      <c r="AI13" s="6">
        <v>527897</v>
      </c>
      <c r="AJ13" s="6">
        <v>527897</v>
      </c>
      <c r="AK13" s="6"/>
      <c r="AL13" s="6"/>
      <c r="AM13" s="10">
        <f>AI13-AH13</f>
        <v>492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597780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930922.45</v>
      </c>
      <c r="G14" s="4">
        <v>930922.45</v>
      </c>
      <c r="H14" s="4">
        <v>930922.45</v>
      </c>
      <c r="I14" s="4"/>
      <c r="J14" s="4"/>
      <c r="K14" s="10">
        <f>G14-F14</f>
        <v>0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0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930955</v>
      </c>
      <c r="AI14" s="4">
        <v>930955</v>
      </c>
      <c r="AJ14" s="4">
        <v>930955</v>
      </c>
      <c r="AK14" s="4"/>
      <c r="AL14" s="4"/>
      <c r="AM14" s="10">
        <f>AI14-AH14</f>
        <v>0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0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492.06000000005588</v>
      </c>
      <c r="F15" s="4"/>
      <c r="G15" s="4"/>
      <c r="H15" s="4"/>
      <c r="I15" s="4"/>
      <c r="J15" s="4"/>
      <c r="K15" s="19">
        <f>SUM(K13:K14)</f>
        <v>492.06000000005588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492</v>
      </c>
      <c r="AH15" s="4"/>
      <c r="AI15" s="4"/>
      <c r="AJ15" s="4"/>
      <c r="AK15" s="4"/>
      <c r="AL15" s="4"/>
      <c r="AM15" s="19">
        <f>SUM(AM13:AM14)</f>
        <v>492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692488.34</v>
      </c>
      <c r="G16" s="4">
        <v>696219.19</v>
      </c>
      <c r="H16" s="4">
        <v>696219.19</v>
      </c>
      <c r="I16" s="4"/>
      <c r="J16" s="4"/>
      <c r="K16" s="10">
        <f>G16-F16</f>
        <v>3730.8499999999767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6972958.6499999566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2046860</v>
      </c>
      <c r="AI16" s="4">
        <v>2050591</v>
      </c>
      <c r="AJ16" s="4">
        <v>2050591</v>
      </c>
      <c r="AK16" s="4"/>
      <c r="AL16" s="4"/>
      <c r="AM16" s="10">
        <f>AI16-AH16</f>
        <v>3731</v>
      </c>
      <c r="AN16" s="6">
        <v>1769</v>
      </c>
      <c r="AO16" s="10">
        <f>AJ16-AI16</f>
        <v>0</v>
      </c>
      <c r="AP16" s="6">
        <v>1869</v>
      </c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6600139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688349.12</v>
      </c>
      <c r="G17" s="6">
        <v>690945.08</v>
      </c>
      <c r="H17" s="6">
        <v>690945.08</v>
      </c>
      <c r="I17" s="6"/>
      <c r="J17" s="6"/>
      <c r="K17" s="10">
        <f>G17-F17</f>
        <v>2595.9599999999627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4851849.2399999304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1721791</v>
      </c>
      <c r="AI17" s="6">
        <v>1724387</v>
      </c>
      <c r="AJ17" s="6">
        <v>1724387</v>
      </c>
      <c r="AK17" s="6"/>
      <c r="AL17" s="6"/>
      <c r="AM17" s="10">
        <f>AI17-AH17</f>
        <v>2596</v>
      </c>
      <c r="AN17" s="6">
        <v>1769</v>
      </c>
      <c r="AO17" s="10">
        <f>AJ17-AI17</f>
        <v>0</v>
      </c>
      <c r="AP17" s="6">
        <v>1869</v>
      </c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4592324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6326.8099999999395</v>
      </c>
      <c r="F18" s="4"/>
      <c r="G18" s="4"/>
      <c r="H18" s="4"/>
      <c r="I18" s="4"/>
      <c r="J18" s="4"/>
      <c r="K18" s="19">
        <f>SUM(K16:K17)</f>
        <v>6326.8099999999395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6327</v>
      </c>
      <c r="AH18" s="4"/>
      <c r="AI18" s="4"/>
      <c r="AJ18" s="4"/>
      <c r="AK18" s="4"/>
      <c r="AL18" s="4"/>
      <c r="AM18" s="19">
        <f>SUM(AM16:AM17)</f>
        <v>6327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393123.49</v>
      </c>
      <c r="G19" s="6">
        <v>398722.16</v>
      </c>
      <c r="H19" s="6">
        <v>398722.16</v>
      </c>
      <c r="I19" s="6"/>
      <c r="J19" s="6"/>
      <c r="K19" s="10">
        <f t="shared" ref="K19:K20" si="8">G19-F19</f>
        <v>5598.6699999999837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10463914.229999969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1233135</v>
      </c>
      <c r="AI19" s="6">
        <v>1238734</v>
      </c>
      <c r="AJ19" s="6">
        <v>1238734</v>
      </c>
      <c r="AK19" s="6"/>
      <c r="AL19" s="6"/>
      <c r="AM19" s="10">
        <f t="shared" ref="AM19:AM20" si="10">AI19-AH19</f>
        <v>5599</v>
      </c>
      <c r="AN19" s="6">
        <v>1769</v>
      </c>
      <c r="AO19" s="10">
        <f>AJ19-AI19</f>
        <v>0</v>
      </c>
      <c r="AP19" s="6">
        <v>1869</v>
      </c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9904631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484316.13</v>
      </c>
      <c r="G20" s="6">
        <v>486409.12</v>
      </c>
      <c r="H20" s="6">
        <v>486409.12</v>
      </c>
      <c r="I20" s="6"/>
      <c r="J20" s="6"/>
      <c r="K20" s="10">
        <f t="shared" si="8"/>
        <v>2092.9899999999907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3911798.3099999828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1258845</v>
      </c>
      <c r="AI20" s="6">
        <v>1260938</v>
      </c>
      <c r="AJ20" s="6">
        <v>1260938</v>
      </c>
      <c r="AK20" s="6"/>
      <c r="AL20" s="6"/>
      <c r="AM20" s="10">
        <f t="shared" si="10"/>
        <v>2093</v>
      </c>
      <c r="AN20" s="6">
        <v>1769</v>
      </c>
      <c r="AO20" s="10">
        <f>AJ20-AI20</f>
        <v>0</v>
      </c>
      <c r="AP20" s="6">
        <v>1869</v>
      </c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3702517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7691.6599999999744</v>
      </c>
      <c r="F21" s="4"/>
      <c r="G21" s="4"/>
      <c r="H21" s="4"/>
      <c r="I21" s="4"/>
      <c r="J21" s="4"/>
      <c r="K21" s="19">
        <f>SUM(K19:K20)</f>
        <v>7691.6599999999744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7692</v>
      </c>
      <c r="AH21" s="4"/>
      <c r="AI21" s="4"/>
      <c r="AJ21" s="4"/>
      <c r="AK21" s="4"/>
      <c r="AL21" s="4"/>
      <c r="AM21" s="19">
        <f>SUM(AM19:AM20)</f>
        <v>7692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40429.819999999891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39145006.459999859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40432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37001856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38100</v>
      </c>
      <c r="G25" s="38">
        <v>34050</v>
      </c>
      <c r="H25" s="39">
        <f t="shared" ref="H25:H30" si="12">F25+V8-G25</f>
        <v>4050</v>
      </c>
      <c r="I25" s="39">
        <f>E6-H25</f>
        <v>250.96999999997206</v>
      </c>
      <c r="J25" s="40">
        <f>E6*0.085</f>
        <v>365.58244999999766</v>
      </c>
      <c r="K25" s="40">
        <f t="shared" ref="K25:K30" si="13">I25-J25</f>
        <v>-114.6124500000256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38100</v>
      </c>
      <c r="AI25" s="38">
        <v>34050</v>
      </c>
      <c r="AJ25" s="39">
        <f t="shared" ref="AJ25:AJ30" si="14">AH25+AX8-AI25</f>
        <v>4050</v>
      </c>
      <c r="AK25" s="39">
        <f>AG6-AJ25</f>
        <v>251</v>
      </c>
      <c r="AL25" s="40">
        <f>AG6*0.085</f>
        <v>365.58500000000004</v>
      </c>
      <c r="AM25" s="40">
        <f t="shared" ref="AM25:AM30" si="15">AK25-AL25</f>
        <v>-114.58500000000004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10900</v>
      </c>
      <c r="G26" s="38">
        <v>24450</v>
      </c>
      <c r="H26" s="39">
        <f t="shared" si="12"/>
        <v>2200</v>
      </c>
      <c r="I26" s="39">
        <f>E9-H26</f>
        <v>129.94999999995343</v>
      </c>
      <c r="J26" s="40">
        <f>E9*0.085</f>
        <v>198.04574999999605</v>
      </c>
      <c r="K26" s="40">
        <f t="shared" si="13"/>
        <v>-68.095750000042614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10900</v>
      </c>
      <c r="AI26" s="38">
        <v>24450</v>
      </c>
      <c r="AJ26" s="39">
        <f t="shared" si="14"/>
        <v>2200</v>
      </c>
      <c r="AK26" s="39">
        <f>AG9-AJ26</f>
        <v>130</v>
      </c>
      <c r="AL26" s="40">
        <f>AG9*0.085</f>
        <v>198.05</v>
      </c>
      <c r="AM26" s="40">
        <f t="shared" si="15"/>
        <v>-68.050000000000011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10000</v>
      </c>
      <c r="G27" s="38">
        <v>20500</v>
      </c>
      <c r="H27" s="39">
        <f t="shared" si="12"/>
        <v>2900</v>
      </c>
      <c r="I27" s="39">
        <f>E12-H27</f>
        <v>19.290000000037253</v>
      </c>
      <c r="J27" s="40">
        <f>E12*0.085</f>
        <v>248.13965000000317</v>
      </c>
      <c r="K27" s="40">
        <f t="shared" si="13"/>
        <v>-228.84964999996592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10000</v>
      </c>
      <c r="AI27" s="38">
        <v>20500</v>
      </c>
      <c r="AJ27" s="39">
        <f t="shared" si="14"/>
        <v>2900</v>
      </c>
      <c r="AK27" s="39">
        <f>AG12-AJ27</f>
        <v>20</v>
      </c>
      <c r="AL27" s="40">
        <f>AG12*0.085</f>
        <v>248.20000000000002</v>
      </c>
      <c r="AM27" s="40">
        <f t="shared" si="15"/>
        <v>-228.20000000000002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12250</v>
      </c>
      <c r="G28" s="38">
        <v>11800</v>
      </c>
      <c r="H28" s="39">
        <f t="shared" si="12"/>
        <v>450</v>
      </c>
      <c r="I28" s="39">
        <f>E15-H28</f>
        <v>42.060000000055879</v>
      </c>
      <c r="J28" s="40">
        <f>E15*0.085</f>
        <v>41.825100000004753</v>
      </c>
      <c r="K28" s="40">
        <f t="shared" si="13"/>
        <v>0.23490000005112677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12250</v>
      </c>
      <c r="AI28" s="38">
        <v>11800</v>
      </c>
      <c r="AJ28" s="39">
        <f t="shared" si="14"/>
        <v>450</v>
      </c>
      <c r="AK28" s="39">
        <f>AG15-AJ28</f>
        <v>42</v>
      </c>
      <c r="AL28" s="40">
        <f>AG15*0.085</f>
        <v>41.82</v>
      </c>
      <c r="AM28" s="40">
        <f t="shared" si="15"/>
        <v>0.17999999999999972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21500</v>
      </c>
      <c r="G29" s="38">
        <v>15700</v>
      </c>
      <c r="H29" s="39">
        <f>F29+V12-G29</f>
        <v>5800</v>
      </c>
      <c r="I29" s="39">
        <f>E18-H29</f>
        <v>526.80999999993946</v>
      </c>
      <c r="J29" s="40">
        <f>E18*0.085</f>
        <v>537.77884999999492</v>
      </c>
      <c r="K29" s="40">
        <f t="shared" si="13"/>
        <v>-10.968850000055454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21500</v>
      </c>
      <c r="AI29" s="38">
        <v>15700</v>
      </c>
      <c r="AJ29" s="39">
        <f t="shared" si="14"/>
        <v>5800</v>
      </c>
      <c r="AK29" s="39">
        <f>AG18-AJ29</f>
        <v>527</v>
      </c>
      <c r="AL29" s="40">
        <f>AG18*0.085</f>
        <v>537.79500000000007</v>
      </c>
      <c r="AM29" s="40">
        <f t="shared" si="15"/>
        <v>-10.795000000000073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11200</v>
      </c>
      <c r="G30" s="38">
        <v>4000</v>
      </c>
      <c r="H30" s="39">
        <f t="shared" si="12"/>
        <v>7200</v>
      </c>
      <c r="I30" s="39">
        <f>E21-H30</f>
        <v>491.65999999997439</v>
      </c>
      <c r="J30" s="40">
        <f>E21*0.085</f>
        <v>653.79109999999787</v>
      </c>
      <c r="K30" s="40">
        <f t="shared" si="13"/>
        <v>-162.13110000002348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11200</v>
      </c>
      <c r="AI30" s="38">
        <v>4000</v>
      </c>
      <c r="AJ30" s="39">
        <f t="shared" si="14"/>
        <v>7200</v>
      </c>
      <c r="AK30" s="39">
        <f>AG21-AJ30</f>
        <v>492</v>
      </c>
      <c r="AL30" s="40">
        <f>AG21*0.085</f>
        <v>653.82000000000005</v>
      </c>
      <c r="AM30" s="40">
        <f t="shared" si="15"/>
        <v>-161.82000000000005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958050</v>
      </c>
      <c r="B33" s="45">
        <v>0</v>
      </c>
      <c r="C33" s="16">
        <v>0</v>
      </c>
      <c r="D33" s="16">
        <v>0</v>
      </c>
      <c r="E33" s="16">
        <v>951870</v>
      </c>
      <c r="F33" s="16">
        <v>0</v>
      </c>
      <c r="G33" s="16">
        <v>0</v>
      </c>
      <c r="H33" s="49">
        <v>0</v>
      </c>
      <c r="I33" s="16">
        <v>0</v>
      </c>
      <c r="J33" s="16">
        <v>10500385</v>
      </c>
      <c r="K33" s="16">
        <v>0</v>
      </c>
      <c r="L33" s="16">
        <v>1871590</v>
      </c>
      <c r="M33" s="16">
        <v>12797562.380000001</v>
      </c>
      <c r="N33" s="16">
        <v>0</v>
      </c>
      <c r="O33" s="16">
        <v>0</v>
      </c>
      <c r="P33" s="16">
        <v>626809</v>
      </c>
      <c r="Q33" s="16">
        <v>0</v>
      </c>
      <c r="R33" s="49">
        <v>0</v>
      </c>
      <c r="S33" s="16">
        <v>0</v>
      </c>
      <c r="T33" s="16">
        <v>19026894.030000001</v>
      </c>
      <c r="U33" s="42">
        <f>SUM(S22-A33-B33-W27-C33-D33-E33-F33-G33-H33-I33-J33-K33-L33-M33-N33-O33-P33-Q33-R33-J35-K35-L35-M35-N35-O35-P35-Q35-S33+T33)</f>
        <v>24521506.109999858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1230255</v>
      </c>
      <c r="N35" s="16">
        <v>0</v>
      </c>
      <c r="O35" s="16">
        <v>2841415</v>
      </c>
      <c r="P35" s="16">
        <v>316100</v>
      </c>
      <c r="Q35" s="16">
        <v>1556358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N15" workbookViewId="0">
      <selection activeCell="S36" sqref="S36"/>
    </sheetView>
  </sheetViews>
  <sheetFormatPr defaultRowHeight="15" x14ac:dyDescent="0.25"/>
  <cols>
    <col min="3" max="3" width="10" bestFit="1" customWidth="1"/>
    <col min="8" max="8" width="10" bestFit="1" customWidth="1"/>
    <col min="10" max="10" width="10.85546875" bestFit="1" customWidth="1"/>
    <col min="20" max="20" width="10.85546875" bestFit="1" customWidth="1"/>
    <col min="21" max="21" width="14.7109375" bestFit="1" customWidth="1"/>
  </cols>
  <sheetData>
    <row r="1" spans="1:51" x14ac:dyDescent="0.25">
      <c r="A1" s="1">
        <v>46271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1044030.45</v>
      </c>
      <c r="G4" s="4">
        <v>1045028.72</v>
      </c>
      <c r="H4" s="4">
        <v>1045028.72</v>
      </c>
      <c r="I4" s="4"/>
      <c r="J4" s="4"/>
      <c r="K4" s="10">
        <f>G4-F4</f>
        <v>998.27000000001863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1286770.030000024</v>
      </c>
      <c r="T4" s="6"/>
      <c r="U4" s="7" t="s">
        <v>9</v>
      </c>
      <c r="V4" s="11">
        <f>E6+E9+E12+E15</f>
        <v>6828.3000000000466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1044058</v>
      </c>
      <c r="AI4" s="4">
        <v>1045056</v>
      </c>
      <c r="AJ4" s="4">
        <v>1045056</v>
      </c>
      <c r="AK4" s="4"/>
      <c r="AL4" s="4"/>
      <c r="AM4" s="10">
        <f>AI4-AH4</f>
        <v>998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1212570</v>
      </c>
      <c r="AV4" s="6"/>
      <c r="AW4" s="7" t="s">
        <v>9</v>
      </c>
      <c r="AX4" s="11">
        <f>AG6+AG9+AG12+AG15</f>
        <v>6828</v>
      </c>
      <c r="AY4" s="11"/>
    </row>
    <row r="5" spans="1:51" x14ac:dyDescent="0.25">
      <c r="C5" s="2"/>
      <c r="D5" s="4"/>
      <c r="E5" s="4" t="s">
        <v>11</v>
      </c>
      <c r="F5" s="4">
        <v>1330024.05</v>
      </c>
      <c r="G5" s="4">
        <v>1331428.06</v>
      </c>
      <c r="H5" s="4">
        <v>1331428.06</v>
      </c>
      <c r="I5" s="4"/>
      <c r="J5" s="4"/>
      <c r="K5" s="10">
        <f>G5-F5</f>
        <v>1404.0100000000093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1809768.890000012</v>
      </c>
      <c r="T5" s="6"/>
      <c r="U5" s="7" t="s">
        <v>12</v>
      </c>
      <c r="V5" s="15">
        <f>E18+E21</f>
        <v>8541.2700000001932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1330058</v>
      </c>
      <c r="AI5" s="4">
        <v>1331462</v>
      </c>
      <c r="AJ5" s="4">
        <v>1331462</v>
      </c>
      <c r="AK5" s="4"/>
      <c r="AL5" s="4"/>
      <c r="AM5" s="10">
        <f>AI5-AH5</f>
        <v>1404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1705860</v>
      </c>
      <c r="AV5" s="6"/>
      <c r="AW5" s="7" t="s">
        <v>12</v>
      </c>
      <c r="AX5" s="15">
        <f>AG18+AG21</f>
        <v>8540</v>
      </c>
      <c r="AY5" s="15"/>
    </row>
    <row r="6" spans="1:51" x14ac:dyDescent="0.25">
      <c r="C6" s="2"/>
      <c r="D6" s="18" t="s">
        <v>14</v>
      </c>
      <c r="E6" s="3">
        <f>K6+M6+O6+Q6</f>
        <v>2402.2800000000279</v>
      </c>
      <c r="F6" s="4"/>
      <c r="G6" s="4"/>
      <c r="H6" s="4"/>
      <c r="I6" s="4"/>
      <c r="J6" s="4"/>
      <c r="K6" s="19">
        <f>SUM(K4:K5)</f>
        <v>2402.2800000000279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2402</v>
      </c>
      <c r="AH6" s="4"/>
      <c r="AI6" s="4"/>
      <c r="AJ6" s="4"/>
      <c r="AK6" s="4"/>
      <c r="AL6" s="4"/>
      <c r="AM6" s="19">
        <f>SUM(AM4:AM5)</f>
        <v>2402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708524.2</v>
      </c>
      <c r="G7" s="4">
        <v>709164.12</v>
      </c>
      <c r="H7" s="4">
        <v>709164.12</v>
      </c>
      <c r="I7" s="4"/>
      <c r="J7" s="4"/>
      <c r="K7" s="10">
        <f>G7-F7</f>
        <v>639.92000000004191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824856.88000005402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708566</v>
      </c>
      <c r="AI7" s="4">
        <v>709206</v>
      </c>
      <c r="AJ7" s="4">
        <v>709206</v>
      </c>
      <c r="AK7" s="4"/>
      <c r="AL7" s="4"/>
      <c r="AM7" s="10">
        <f>AI7-AH7</f>
        <v>640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777600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1106540.8500000001</v>
      </c>
      <c r="G8" s="6">
        <v>1108452.3700000001</v>
      </c>
      <c r="H8" s="6">
        <v>1108452.3700000001</v>
      </c>
      <c r="I8" s="6"/>
      <c r="J8" s="6"/>
      <c r="K8" s="10">
        <f>G8-F8</f>
        <v>1911.5200000000186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2463949.280000024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1106583</v>
      </c>
      <c r="AI8" s="6">
        <v>1108495</v>
      </c>
      <c r="AJ8" s="6">
        <v>1108495</v>
      </c>
      <c r="AK8" s="6"/>
      <c r="AL8" s="6"/>
      <c r="AM8" s="10">
        <f>AI8-AH8</f>
        <v>1912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2323080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2551.4400000000605</v>
      </c>
      <c r="F9" s="4"/>
      <c r="G9" s="4"/>
      <c r="H9" s="4"/>
      <c r="I9" s="4"/>
      <c r="J9" s="4"/>
      <c r="K9" s="19">
        <f>SUM(K7:K8)</f>
        <v>2551.4400000000605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2552</v>
      </c>
      <c r="AH9" s="4"/>
      <c r="AI9" s="4"/>
      <c r="AJ9" s="4"/>
      <c r="AK9" s="4"/>
      <c r="AL9" s="4"/>
      <c r="AM9" s="19">
        <f>SUM(AM7:AM8)</f>
        <v>2552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595691.89</v>
      </c>
      <c r="G10" s="6">
        <v>596054.41</v>
      </c>
      <c r="H10" s="6">
        <v>596054.41</v>
      </c>
      <c r="I10" s="6"/>
      <c r="J10" s="6"/>
      <c r="K10" s="10">
        <f>G10-F10</f>
        <v>362.52000000001863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467288.28000002401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595698</v>
      </c>
      <c r="AI10" s="6">
        <v>596060</v>
      </c>
      <c r="AJ10" s="6">
        <v>596060</v>
      </c>
      <c r="AK10" s="6"/>
      <c r="AL10" s="6"/>
      <c r="AM10" s="10">
        <f>AI10-AH10</f>
        <v>362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439830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941078.35</v>
      </c>
      <c r="G11" s="6">
        <v>942028.85</v>
      </c>
      <c r="H11" s="6">
        <v>942028.85</v>
      </c>
      <c r="I11" s="6"/>
      <c r="J11" s="6"/>
      <c r="K11" s="10">
        <f>G11-F11</f>
        <v>950.5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1225194.5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941120</v>
      </c>
      <c r="AI11" s="6">
        <v>942070</v>
      </c>
      <c r="AJ11" s="6">
        <v>942070</v>
      </c>
      <c r="AK11" s="6"/>
      <c r="AL11" s="6"/>
      <c r="AM11" s="10">
        <f>AI11-AH11</f>
        <v>950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1154250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1313.0200000000186</v>
      </c>
      <c r="F12" s="4"/>
      <c r="G12" s="4"/>
      <c r="H12" s="4"/>
      <c r="I12" s="4"/>
      <c r="J12" s="4"/>
      <c r="K12" s="19">
        <f>SUM(K10:K11)</f>
        <v>1313.0200000000186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1312</v>
      </c>
      <c r="AH12" s="4"/>
      <c r="AI12" s="4"/>
      <c r="AJ12" s="4"/>
      <c r="AK12" s="4"/>
      <c r="AL12" s="4"/>
      <c r="AM12" s="19">
        <f>SUM(AM10:AM11)</f>
        <v>1312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527855.63</v>
      </c>
      <c r="G13" s="6">
        <v>528417.18999999994</v>
      </c>
      <c r="H13" s="6">
        <v>528417.18999999994</v>
      </c>
      <c r="I13" s="6"/>
      <c r="J13" s="6"/>
      <c r="K13" s="10">
        <f>G13-F13</f>
        <v>561.55999999993946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723850.83999992197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527897</v>
      </c>
      <c r="AI13" s="6">
        <v>528459</v>
      </c>
      <c r="AJ13" s="6">
        <v>528459</v>
      </c>
      <c r="AK13" s="6"/>
      <c r="AL13" s="6"/>
      <c r="AM13" s="10">
        <f>AI13-AH13</f>
        <v>562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682830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930922.45</v>
      </c>
      <c r="G14" s="4">
        <v>930922.45</v>
      </c>
      <c r="H14" s="4">
        <v>930922.45</v>
      </c>
      <c r="I14" s="4"/>
      <c r="J14" s="4"/>
      <c r="K14" s="10">
        <f>G14-F14</f>
        <v>0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0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930955</v>
      </c>
      <c r="AI14" s="4">
        <v>930955</v>
      </c>
      <c r="AJ14" s="4">
        <v>930955</v>
      </c>
      <c r="AK14" s="4"/>
      <c r="AL14" s="4"/>
      <c r="AM14" s="10">
        <f>AI14-AH14</f>
        <v>0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0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561.55999999993946</v>
      </c>
      <c r="F15" s="4"/>
      <c r="G15" s="4"/>
      <c r="H15" s="4"/>
      <c r="I15" s="4"/>
      <c r="J15" s="4"/>
      <c r="K15" s="19">
        <f>SUM(K13:K14)</f>
        <v>561.55999999993946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562</v>
      </c>
      <c r="AH15" s="4"/>
      <c r="AI15" s="4"/>
      <c r="AJ15" s="4"/>
      <c r="AK15" s="4"/>
      <c r="AL15" s="4"/>
      <c r="AM15" s="19">
        <f>SUM(AM13:AM14)</f>
        <v>562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696219.19</v>
      </c>
      <c r="G16" s="4">
        <v>698693.38</v>
      </c>
      <c r="H16" s="4">
        <v>698693.38</v>
      </c>
      <c r="I16" s="4"/>
      <c r="J16" s="4"/>
      <c r="K16" s="10">
        <f>G16-F16</f>
        <v>2474.1900000000605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4624261.110000113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2050591</v>
      </c>
      <c r="AI16" s="4">
        <v>2053065</v>
      </c>
      <c r="AJ16" s="4">
        <v>2053065</v>
      </c>
      <c r="AK16" s="4"/>
      <c r="AL16" s="4"/>
      <c r="AM16" s="10">
        <f>AI16-AH16</f>
        <v>2474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4623906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690945.08</v>
      </c>
      <c r="G17" s="6">
        <v>692735.31</v>
      </c>
      <c r="H17" s="6">
        <v>692735.31</v>
      </c>
      <c r="I17" s="6"/>
      <c r="J17" s="6"/>
      <c r="K17" s="10">
        <f>G17-F17</f>
        <v>1790.2300000000978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3345939.8700001827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1724387</v>
      </c>
      <c r="AI17" s="6">
        <v>1726177</v>
      </c>
      <c r="AJ17" s="6">
        <v>1726177</v>
      </c>
      <c r="AK17" s="6"/>
      <c r="AL17" s="6"/>
      <c r="AM17" s="10">
        <f>AI17-AH17</f>
        <v>1790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3345510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4264.4200000001583</v>
      </c>
      <c r="F18" s="4"/>
      <c r="G18" s="4"/>
      <c r="H18" s="4"/>
      <c r="I18" s="4"/>
      <c r="J18" s="4"/>
      <c r="K18" s="19">
        <f>SUM(K16:K17)</f>
        <v>4264.4200000001583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4264</v>
      </c>
      <c r="AH18" s="4"/>
      <c r="AI18" s="4"/>
      <c r="AJ18" s="4"/>
      <c r="AK18" s="4"/>
      <c r="AL18" s="4"/>
      <c r="AM18" s="19">
        <f>SUM(AM16:AM17)</f>
        <v>4264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398722.16</v>
      </c>
      <c r="G19" s="6">
        <v>402062.71</v>
      </c>
      <c r="H19" s="6">
        <v>402062.71</v>
      </c>
      <c r="I19" s="6"/>
      <c r="J19" s="6"/>
      <c r="K19" s="10">
        <f t="shared" ref="K19:K20" si="8">G19-F19</f>
        <v>3340.5500000000466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6243487.9500000868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1238734</v>
      </c>
      <c r="AI19" s="6">
        <v>1242074</v>
      </c>
      <c r="AJ19" s="6">
        <v>1242074</v>
      </c>
      <c r="AK19" s="6"/>
      <c r="AL19" s="6"/>
      <c r="AM19" s="10">
        <f t="shared" ref="AM19:AM20" si="10">AI19-AH19</f>
        <v>3340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6242460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486409.12</v>
      </c>
      <c r="G20" s="6">
        <v>487345.42</v>
      </c>
      <c r="H20" s="6">
        <v>487345.42</v>
      </c>
      <c r="I20" s="6"/>
      <c r="J20" s="6"/>
      <c r="K20" s="10">
        <f t="shared" si="8"/>
        <v>936.29999999998836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1749944.6999999783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1260938</v>
      </c>
      <c r="AI20" s="6">
        <v>1261874</v>
      </c>
      <c r="AJ20" s="6">
        <v>1261874</v>
      </c>
      <c r="AK20" s="6"/>
      <c r="AL20" s="6"/>
      <c r="AM20" s="10">
        <f t="shared" si="10"/>
        <v>936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1749384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4276.8500000000349</v>
      </c>
      <c r="F21" s="4"/>
      <c r="G21" s="4"/>
      <c r="H21" s="4"/>
      <c r="I21" s="4"/>
      <c r="J21" s="4"/>
      <c r="K21" s="19">
        <f>SUM(K19:K20)</f>
        <v>4276.8500000000349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4276</v>
      </c>
      <c r="AH21" s="4"/>
      <c r="AI21" s="4"/>
      <c r="AJ21" s="4"/>
      <c r="AK21" s="4"/>
      <c r="AL21" s="4"/>
      <c r="AM21" s="19">
        <f>SUM(AM19:AM20)</f>
        <v>4276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26462.290000000445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24765312.330000419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26460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24257280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34050</v>
      </c>
      <c r="G25" s="38">
        <v>31800</v>
      </c>
      <c r="H25" s="39">
        <f t="shared" ref="H25:H30" si="12">F25+V8-G25</f>
        <v>2250</v>
      </c>
      <c r="I25" s="39">
        <f>E6-H25</f>
        <v>152.28000000002794</v>
      </c>
      <c r="J25" s="40">
        <f>E6*0.085</f>
        <v>204.1938000000024</v>
      </c>
      <c r="K25" s="40">
        <f t="shared" ref="K25:K30" si="13">I25-J25</f>
        <v>-51.913799999974458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34050</v>
      </c>
      <c r="AI25" s="38">
        <v>31800</v>
      </c>
      <c r="AJ25" s="39">
        <f t="shared" ref="AJ25:AJ30" si="14">AH25+AX8-AI25</f>
        <v>2250</v>
      </c>
      <c r="AK25" s="39">
        <f>AG6-AJ25</f>
        <v>152</v>
      </c>
      <c r="AL25" s="40">
        <f>AG6*0.085</f>
        <v>204.17000000000002</v>
      </c>
      <c r="AM25" s="40">
        <f t="shared" ref="AM25:AM30" si="15">AK25-AL25</f>
        <v>-52.170000000000016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24450</v>
      </c>
      <c r="G26" s="38">
        <v>22100</v>
      </c>
      <c r="H26" s="39">
        <f t="shared" si="12"/>
        <v>2350</v>
      </c>
      <c r="I26" s="39">
        <f>E9-H26</f>
        <v>201.44000000006054</v>
      </c>
      <c r="J26" s="40">
        <f>E9*0.085</f>
        <v>216.87240000000517</v>
      </c>
      <c r="K26" s="40">
        <f t="shared" si="13"/>
        <v>-15.432399999944636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24450</v>
      </c>
      <c r="AI26" s="38">
        <v>22100</v>
      </c>
      <c r="AJ26" s="39">
        <f t="shared" si="14"/>
        <v>2350</v>
      </c>
      <c r="AK26" s="39">
        <f>AG9-AJ26</f>
        <v>202</v>
      </c>
      <c r="AL26" s="40">
        <f>AG9*0.085</f>
        <v>216.92000000000002</v>
      </c>
      <c r="AM26" s="40">
        <f t="shared" si="15"/>
        <v>-14.920000000000016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20500</v>
      </c>
      <c r="G27" s="38">
        <v>19250</v>
      </c>
      <c r="H27" s="39">
        <f t="shared" si="12"/>
        <v>1250</v>
      </c>
      <c r="I27" s="39">
        <f>E12-H27</f>
        <v>63.020000000018626</v>
      </c>
      <c r="J27" s="40">
        <f>E12*0.085</f>
        <v>111.6067000000016</v>
      </c>
      <c r="K27" s="40">
        <f t="shared" si="13"/>
        <v>-48.586699999982969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20500</v>
      </c>
      <c r="AI27" s="38">
        <v>19250</v>
      </c>
      <c r="AJ27" s="39">
        <f t="shared" si="14"/>
        <v>1250</v>
      </c>
      <c r="AK27" s="39">
        <f>AG12-AJ27</f>
        <v>62</v>
      </c>
      <c r="AL27" s="40">
        <f>AG12*0.085</f>
        <v>111.52000000000001</v>
      </c>
      <c r="AM27" s="40">
        <f t="shared" si="15"/>
        <v>-49.52000000000001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11800</v>
      </c>
      <c r="G28" s="38">
        <v>11250</v>
      </c>
      <c r="H28" s="39">
        <f t="shared" si="12"/>
        <v>550</v>
      </c>
      <c r="I28" s="39">
        <f>E15-H28</f>
        <v>11.559999999939464</v>
      </c>
      <c r="J28" s="40">
        <f>E15*0.085</f>
        <v>47.732599999994861</v>
      </c>
      <c r="K28" s="40">
        <f t="shared" si="13"/>
        <v>-36.172600000055397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11800</v>
      </c>
      <c r="AI28" s="38">
        <v>11250</v>
      </c>
      <c r="AJ28" s="39">
        <f t="shared" si="14"/>
        <v>550</v>
      </c>
      <c r="AK28" s="39">
        <f>AG15-AJ28</f>
        <v>12</v>
      </c>
      <c r="AL28" s="40">
        <f>AG15*0.085</f>
        <v>47.77</v>
      </c>
      <c r="AM28" s="40">
        <f t="shared" si="15"/>
        <v>-35.770000000000003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15700</v>
      </c>
      <c r="G29" s="38">
        <v>11850</v>
      </c>
      <c r="H29" s="39">
        <f>F29+V12-G29</f>
        <v>3850</v>
      </c>
      <c r="I29" s="39">
        <f>E18-H29</f>
        <v>414.42000000015832</v>
      </c>
      <c r="J29" s="40">
        <f>E18*0.085</f>
        <v>362.47570000001349</v>
      </c>
      <c r="K29" s="40">
        <f t="shared" si="13"/>
        <v>51.944300000144835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15700</v>
      </c>
      <c r="AI29" s="38">
        <v>11850</v>
      </c>
      <c r="AJ29" s="39">
        <f t="shared" si="14"/>
        <v>3850</v>
      </c>
      <c r="AK29" s="39">
        <f>AG18-AJ29</f>
        <v>414</v>
      </c>
      <c r="AL29" s="40">
        <f>AG18*0.085</f>
        <v>362.44</v>
      </c>
      <c r="AM29" s="40">
        <f t="shared" si="15"/>
        <v>51.56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4000</v>
      </c>
      <c r="G30" s="38">
        <v>50</v>
      </c>
      <c r="H30" s="39">
        <f t="shared" si="12"/>
        <v>3950</v>
      </c>
      <c r="I30" s="39">
        <f>E21-H30</f>
        <v>326.85000000003492</v>
      </c>
      <c r="J30" s="40">
        <f>E21*0.085</f>
        <v>363.53225000000299</v>
      </c>
      <c r="K30" s="40">
        <f t="shared" si="13"/>
        <v>-36.682249999968064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4000</v>
      </c>
      <c r="AI30" s="38">
        <v>50</v>
      </c>
      <c r="AJ30" s="39">
        <f t="shared" si="14"/>
        <v>3950</v>
      </c>
      <c r="AK30" s="39">
        <f>AG21-AJ30</f>
        <v>326</v>
      </c>
      <c r="AL30" s="40">
        <f>AG21*0.085</f>
        <v>363.46000000000004</v>
      </c>
      <c r="AM30" s="40">
        <f t="shared" si="15"/>
        <v>-37.460000000000036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1171559.19</v>
      </c>
      <c r="C33" s="16">
        <v>1401450</v>
      </c>
      <c r="D33" s="16">
        <v>0</v>
      </c>
      <c r="E33" s="16">
        <v>0</v>
      </c>
      <c r="F33" s="16">
        <v>0</v>
      </c>
      <c r="G33" s="16">
        <v>901743</v>
      </c>
      <c r="H33" s="49">
        <v>1779081</v>
      </c>
      <c r="I33" s="16">
        <v>882651</v>
      </c>
      <c r="J33" s="16">
        <v>13499209.289999999</v>
      </c>
      <c r="K33" s="16">
        <v>0</v>
      </c>
      <c r="L33" s="16">
        <v>0</v>
      </c>
      <c r="M33" s="16">
        <v>515700</v>
      </c>
      <c r="N33" s="16">
        <v>0</v>
      </c>
      <c r="O33" s="16">
        <v>484276.95</v>
      </c>
      <c r="P33" s="16">
        <v>0</v>
      </c>
      <c r="Q33" s="16">
        <v>388500</v>
      </c>
      <c r="R33" s="49">
        <v>0</v>
      </c>
      <c r="S33" s="16">
        <v>645649.28</v>
      </c>
      <c r="T33" s="16">
        <v>24521506.109999999</v>
      </c>
      <c r="U33" s="42">
        <f>SUM(S22-A33-B33-W27-C33-D33-E33-F33-G33-H33-I33-J33-K33-L33-M33-N33-O33-P33-Q33-R33-J35-K35-L35-M35-N35-O35-P35-Q35-S33+T33)</f>
        <v>26927998.730000418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0</v>
      </c>
      <c r="N35" s="16">
        <v>689000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N15" workbookViewId="0">
      <selection activeCell="R36" sqref="R36"/>
    </sheetView>
  </sheetViews>
  <sheetFormatPr defaultRowHeight="15" x14ac:dyDescent="0.25"/>
  <cols>
    <col min="13" max="13" width="10.85546875" bestFit="1" customWidth="1"/>
    <col min="14" max="14" width="10" bestFit="1" customWidth="1"/>
    <col min="20" max="20" width="10.85546875" bestFit="1" customWidth="1"/>
    <col min="21" max="21" width="14.7109375" bestFit="1" customWidth="1"/>
  </cols>
  <sheetData>
    <row r="1" spans="1:51" x14ac:dyDescent="0.25">
      <c r="A1" s="1">
        <v>46272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1045028.72</v>
      </c>
      <c r="G4" s="4">
        <v>1045519.76</v>
      </c>
      <c r="H4" s="4">
        <v>1045519.76</v>
      </c>
      <c r="I4" s="4"/>
      <c r="J4" s="4"/>
      <c r="K4" s="10">
        <f>G4-F4</f>
        <v>491.04000000003725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632950.56000004802</v>
      </c>
      <c r="T4" s="6"/>
      <c r="U4" s="7" t="s">
        <v>9</v>
      </c>
      <c r="V4" s="11">
        <f>E6+E9+E12+E15</f>
        <v>8085.6299999998882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1045056</v>
      </c>
      <c r="AI4" s="4">
        <v>1045547</v>
      </c>
      <c r="AJ4" s="4">
        <v>1045547</v>
      </c>
      <c r="AK4" s="4"/>
      <c r="AL4" s="4"/>
      <c r="AM4" s="10">
        <f>AI4-AH4</f>
        <v>491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596565</v>
      </c>
      <c r="AV4" s="6"/>
      <c r="AW4" s="7" t="s">
        <v>9</v>
      </c>
      <c r="AX4" s="11">
        <f>AG6+AG9+AG12+AG15</f>
        <v>8086</v>
      </c>
      <c r="AY4" s="11"/>
    </row>
    <row r="5" spans="1:51" x14ac:dyDescent="0.25">
      <c r="C5" s="2"/>
      <c r="D5" s="4"/>
      <c r="E5" s="4" t="s">
        <v>11</v>
      </c>
      <c r="F5" s="4">
        <v>1331428.06</v>
      </c>
      <c r="G5" s="4">
        <v>1332255.33</v>
      </c>
      <c r="H5" s="4">
        <v>1332255.33</v>
      </c>
      <c r="I5" s="4"/>
      <c r="J5" s="4"/>
      <c r="K5" s="10">
        <f>G5-F5</f>
        <v>827.27000000001863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1066351.030000024</v>
      </c>
      <c r="T5" s="6"/>
      <c r="U5" s="7" t="s">
        <v>12</v>
      </c>
      <c r="V5" s="15">
        <f>E18+E21</f>
        <v>8405.8699999999953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1331462</v>
      </c>
      <c r="AI5" s="4">
        <v>1332290</v>
      </c>
      <c r="AJ5" s="4">
        <v>1332290</v>
      </c>
      <c r="AK5" s="4"/>
      <c r="AL5" s="4"/>
      <c r="AM5" s="10">
        <f>AI5-AH5</f>
        <v>828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1006020</v>
      </c>
      <c r="AV5" s="6"/>
      <c r="AW5" s="7" t="s">
        <v>12</v>
      </c>
      <c r="AX5" s="15">
        <f>AG18+AG21</f>
        <v>8406</v>
      </c>
      <c r="AY5" s="15"/>
    </row>
    <row r="6" spans="1:51" x14ac:dyDescent="0.25">
      <c r="C6" s="2"/>
      <c r="D6" s="18" t="s">
        <v>14</v>
      </c>
      <c r="E6" s="3">
        <f>K6+M6+O6+Q6</f>
        <v>1318.3100000000559</v>
      </c>
      <c r="F6" s="4"/>
      <c r="G6" s="4"/>
      <c r="H6" s="4"/>
      <c r="I6" s="4"/>
      <c r="J6" s="4"/>
      <c r="K6" s="19">
        <f>SUM(K4:K5)</f>
        <v>1318.3100000000559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1319</v>
      </c>
      <c r="AH6" s="4"/>
      <c r="AI6" s="4"/>
      <c r="AJ6" s="4"/>
      <c r="AK6" s="4"/>
      <c r="AL6" s="4"/>
      <c r="AM6" s="19">
        <f>SUM(AM4:AM5)</f>
        <v>1319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709164.12</v>
      </c>
      <c r="G7" s="4">
        <v>710192.07</v>
      </c>
      <c r="H7" s="4">
        <v>710192.07</v>
      </c>
      <c r="I7" s="4"/>
      <c r="J7" s="4"/>
      <c r="K7" s="10">
        <f>G7-F7</f>
        <v>1027.9499999999534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1325027.54999994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709206</v>
      </c>
      <c r="AI7" s="4">
        <v>710234</v>
      </c>
      <c r="AJ7" s="4">
        <v>710234</v>
      </c>
      <c r="AK7" s="4"/>
      <c r="AL7" s="4"/>
      <c r="AM7" s="10">
        <f>AI7-AH7</f>
        <v>1028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1249020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1108452.3700000001</v>
      </c>
      <c r="G8" s="6">
        <v>1109815.42</v>
      </c>
      <c r="H8" s="6">
        <v>1109815.42</v>
      </c>
      <c r="I8" s="6"/>
      <c r="J8" s="6"/>
      <c r="K8" s="10">
        <f>G8-F8</f>
        <v>1363.0499999998137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1756971.4499997599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1108495</v>
      </c>
      <c r="AI8" s="6">
        <v>1109858</v>
      </c>
      <c r="AJ8" s="6">
        <v>1109858</v>
      </c>
      <c r="AK8" s="6"/>
      <c r="AL8" s="6"/>
      <c r="AM8" s="10">
        <f>AI8-AH8</f>
        <v>1363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1656045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2390.9999999997672</v>
      </c>
      <c r="F9" s="4"/>
      <c r="G9" s="4"/>
      <c r="H9" s="4"/>
      <c r="I9" s="4"/>
      <c r="J9" s="4"/>
      <c r="K9" s="19">
        <f>SUM(K7:K8)</f>
        <v>2390.9999999997672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2391</v>
      </c>
      <c r="AH9" s="4"/>
      <c r="AI9" s="4"/>
      <c r="AJ9" s="4"/>
      <c r="AK9" s="4"/>
      <c r="AL9" s="4"/>
      <c r="AM9" s="19">
        <f>SUM(AM7:AM8)</f>
        <v>2391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596054.41</v>
      </c>
      <c r="G10" s="6">
        <v>597530.57999999996</v>
      </c>
      <c r="H10" s="6">
        <v>597530.57999999996</v>
      </c>
      <c r="I10" s="6"/>
      <c r="J10" s="6"/>
      <c r="K10" s="10">
        <f>G10-F10</f>
        <v>1476.1699999999255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1902783.129999904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596060</v>
      </c>
      <c r="AI10" s="6">
        <v>597536</v>
      </c>
      <c r="AJ10" s="6">
        <v>597536</v>
      </c>
      <c r="AK10" s="6"/>
      <c r="AL10" s="6"/>
      <c r="AM10" s="10">
        <f>AI10-AH10</f>
        <v>1476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1793340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942028.85</v>
      </c>
      <c r="G11" s="6">
        <v>942716.79</v>
      </c>
      <c r="H11" s="6">
        <v>942716.79</v>
      </c>
      <c r="I11" s="6"/>
      <c r="J11" s="6"/>
      <c r="K11" s="10">
        <f>G11-F11</f>
        <v>687.94000000006054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886754.66000007803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942070</v>
      </c>
      <c r="AI11" s="6">
        <v>942758</v>
      </c>
      <c r="AJ11" s="6">
        <v>942758</v>
      </c>
      <c r="AK11" s="6"/>
      <c r="AL11" s="6"/>
      <c r="AM11" s="10">
        <f>AI11-AH11</f>
        <v>688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835920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2164.109999999986</v>
      </c>
      <c r="F12" s="4"/>
      <c r="G12" s="4"/>
      <c r="H12" s="4"/>
      <c r="I12" s="4"/>
      <c r="J12" s="4"/>
      <c r="K12" s="19">
        <f>SUM(K10:K11)</f>
        <v>2164.109999999986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2164</v>
      </c>
      <c r="AH12" s="4"/>
      <c r="AI12" s="4"/>
      <c r="AJ12" s="4"/>
      <c r="AK12" s="4"/>
      <c r="AL12" s="4"/>
      <c r="AM12" s="19">
        <f>SUM(AM10:AM11)</f>
        <v>2164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528417.18999999994</v>
      </c>
      <c r="G13" s="6">
        <v>528965.07999999996</v>
      </c>
      <c r="H13" s="6">
        <v>528965.07999999996</v>
      </c>
      <c r="I13" s="6"/>
      <c r="J13" s="6"/>
      <c r="K13" s="10">
        <f>G13-F13</f>
        <v>547.89000000001397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706230.21000001801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528459</v>
      </c>
      <c r="AI13" s="6">
        <v>529007</v>
      </c>
      <c r="AJ13" s="6">
        <v>529007</v>
      </c>
      <c r="AK13" s="6"/>
      <c r="AL13" s="6"/>
      <c r="AM13" s="10">
        <f>AI13-AH13</f>
        <v>548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665820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930922.45</v>
      </c>
      <c r="G14" s="4">
        <v>932586.77</v>
      </c>
      <c r="H14" s="4">
        <v>932586.77</v>
      </c>
      <c r="I14" s="4"/>
      <c r="J14" s="4"/>
      <c r="K14" s="10">
        <f>G14-F14</f>
        <v>1664.3200000000652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2145308.4800000843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930955</v>
      </c>
      <c r="AI14" s="4">
        <v>932619</v>
      </c>
      <c r="AJ14" s="4">
        <v>932619</v>
      </c>
      <c r="AK14" s="4"/>
      <c r="AL14" s="4"/>
      <c r="AM14" s="10">
        <f>AI14-AH14</f>
        <v>1664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2021760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2212.2100000000792</v>
      </c>
      <c r="F15" s="4"/>
      <c r="G15" s="4"/>
      <c r="H15" s="4"/>
      <c r="I15" s="4"/>
      <c r="J15" s="4"/>
      <c r="K15" s="19">
        <f>SUM(K13:K14)</f>
        <v>2212.2100000000792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2212</v>
      </c>
      <c r="AH15" s="4"/>
      <c r="AI15" s="4"/>
      <c r="AJ15" s="4"/>
      <c r="AK15" s="4"/>
      <c r="AL15" s="4"/>
      <c r="AM15" s="19">
        <f>SUM(AM13:AM14)</f>
        <v>2212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698693.38</v>
      </c>
      <c r="G16" s="4">
        <v>703541.03</v>
      </c>
      <c r="H16" s="4">
        <v>703541.03</v>
      </c>
      <c r="I16" s="4"/>
      <c r="J16" s="4"/>
      <c r="K16" s="10">
        <f>G16-F16</f>
        <v>4847.6500000000233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9060257.8500000443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2053065</v>
      </c>
      <c r="AI16" s="4">
        <v>2057913</v>
      </c>
      <c r="AJ16" s="4">
        <v>2057913</v>
      </c>
      <c r="AK16" s="4"/>
      <c r="AL16" s="4"/>
      <c r="AM16" s="10">
        <f>AI16-AH16</f>
        <v>4848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9060912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692735.31</v>
      </c>
      <c r="G17" s="6">
        <v>696293.53</v>
      </c>
      <c r="H17" s="6">
        <v>696293.53</v>
      </c>
      <c r="I17" s="6"/>
      <c r="J17" s="6"/>
      <c r="K17" s="10">
        <f>G17-F17</f>
        <v>3558.2199999999721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6650313.1799999475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1726177</v>
      </c>
      <c r="AI17" s="6">
        <v>1729735</v>
      </c>
      <c r="AJ17" s="6">
        <v>1729735</v>
      </c>
      <c r="AK17" s="6"/>
      <c r="AL17" s="6"/>
      <c r="AM17" s="10">
        <f>AI17-AH17</f>
        <v>3558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6649902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8405.8699999999953</v>
      </c>
      <c r="F18" s="4"/>
      <c r="G18" s="4"/>
      <c r="H18" s="4"/>
      <c r="I18" s="4"/>
      <c r="J18" s="4"/>
      <c r="K18" s="19">
        <f>SUM(K16:K17)</f>
        <v>8405.8699999999953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8406</v>
      </c>
      <c r="AH18" s="4"/>
      <c r="AI18" s="4"/>
      <c r="AJ18" s="4"/>
      <c r="AK18" s="4"/>
      <c r="AL18" s="4"/>
      <c r="AM18" s="19">
        <f>SUM(AM16:AM17)</f>
        <v>8406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402062.71</v>
      </c>
      <c r="G19" s="6">
        <v>402062.71</v>
      </c>
      <c r="H19" s="6">
        <v>402062.71</v>
      </c>
      <c r="I19" s="6"/>
      <c r="J19" s="6"/>
      <c r="K19" s="10">
        <f t="shared" ref="K19:K20" si="8">G19-F19</f>
        <v>0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0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1242074</v>
      </c>
      <c r="AI19" s="6">
        <v>1242074</v>
      </c>
      <c r="AJ19" s="6">
        <v>1242074</v>
      </c>
      <c r="AK19" s="6"/>
      <c r="AL19" s="6"/>
      <c r="AM19" s="10">
        <f t="shared" ref="AM19:AM20" si="10">AI19-AH19</f>
        <v>0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0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487345.42</v>
      </c>
      <c r="G20" s="6">
        <v>487345.42</v>
      </c>
      <c r="H20" s="6">
        <v>487345.42</v>
      </c>
      <c r="I20" s="6"/>
      <c r="J20" s="6"/>
      <c r="K20" s="10">
        <f t="shared" si="8"/>
        <v>0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0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1261874</v>
      </c>
      <c r="AI20" s="6">
        <v>1261874</v>
      </c>
      <c r="AJ20" s="6">
        <v>1261874</v>
      </c>
      <c r="AK20" s="6"/>
      <c r="AL20" s="6"/>
      <c r="AM20" s="10">
        <f t="shared" si="10"/>
        <v>0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0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0</v>
      </c>
      <c r="F21" s="4"/>
      <c r="G21" s="4"/>
      <c r="H21" s="4"/>
      <c r="I21" s="4"/>
      <c r="J21" s="4"/>
      <c r="K21" s="19">
        <f>SUM(K19:K20)</f>
        <v>0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0</v>
      </c>
      <c r="AH21" s="4"/>
      <c r="AI21" s="4"/>
      <c r="AJ21" s="4"/>
      <c r="AK21" s="4"/>
      <c r="AL21" s="4"/>
      <c r="AM21" s="19">
        <f>SUM(AM19:AM20)</f>
        <v>0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32982.999999999767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26132948.099999845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32984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25535304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31800</v>
      </c>
      <c r="G25" s="38">
        <v>30500</v>
      </c>
      <c r="H25" s="39">
        <f t="shared" ref="H25:H30" si="12">F25+V8-G25</f>
        <v>1300</v>
      </c>
      <c r="I25" s="39">
        <f>E6-H25</f>
        <v>18.310000000055879</v>
      </c>
      <c r="J25" s="40">
        <f>E6*0.085</f>
        <v>112.05635000000476</v>
      </c>
      <c r="K25" s="40">
        <f t="shared" ref="K25:K30" si="13">I25-J25</f>
        <v>-93.746349999948876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31800</v>
      </c>
      <c r="AI25" s="38">
        <v>30500</v>
      </c>
      <c r="AJ25" s="39">
        <f t="shared" ref="AJ25:AJ30" si="14">AH25+AX8-AI25</f>
        <v>1300</v>
      </c>
      <c r="AK25" s="39">
        <f>AG6-AJ25</f>
        <v>19</v>
      </c>
      <c r="AL25" s="40">
        <f>AG6*0.085</f>
        <v>112.11500000000001</v>
      </c>
      <c r="AM25" s="40">
        <f t="shared" ref="AM25:AM30" si="15">AK25-AL25</f>
        <v>-93.115000000000009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22100</v>
      </c>
      <c r="G26" s="38">
        <v>19850</v>
      </c>
      <c r="H26" s="39">
        <f t="shared" si="12"/>
        <v>2250</v>
      </c>
      <c r="I26" s="39">
        <f>E9-H26</f>
        <v>140.99999999976717</v>
      </c>
      <c r="J26" s="40">
        <f>E9*0.085</f>
        <v>203.23499999998023</v>
      </c>
      <c r="K26" s="40">
        <f t="shared" si="13"/>
        <v>-62.235000000213063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22100</v>
      </c>
      <c r="AI26" s="38">
        <v>19850</v>
      </c>
      <c r="AJ26" s="39">
        <f t="shared" si="14"/>
        <v>2250</v>
      </c>
      <c r="AK26" s="39">
        <f>AG9-AJ26</f>
        <v>141</v>
      </c>
      <c r="AL26" s="40">
        <f>AG9*0.085</f>
        <v>203.23500000000001</v>
      </c>
      <c r="AM26" s="40">
        <f t="shared" si="15"/>
        <v>-62.235000000000014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19250</v>
      </c>
      <c r="G27" s="38">
        <v>17200</v>
      </c>
      <c r="H27" s="39">
        <f t="shared" si="12"/>
        <v>2050</v>
      </c>
      <c r="I27" s="39">
        <f>E12-H27</f>
        <v>114.10999999998603</v>
      </c>
      <c r="J27" s="40">
        <f>E12*0.085</f>
        <v>183.94934999999882</v>
      </c>
      <c r="K27" s="40">
        <f t="shared" si="13"/>
        <v>-69.839350000012786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19250</v>
      </c>
      <c r="AI27" s="38">
        <v>17200</v>
      </c>
      <c r="AJ27" s="39">
        <f t="shared" si="14"/>
        <v>2050</v>
      </c>
      <c r="AK27" s="39">
        <f>AG12-AJ27</f>
        <v>114</v>
      </c>
      <c r="AL27" s="40">
        <f>AG12*0.085</f>
        <v>183.94000000000003</v>
      </c>
      <c r="AM27" s="40">
        <f t="shared" si="15"/>
        <v>-69.940000000000026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11250</v>
      </c>
      <c r="G28" s="38">
        <v>9150</v>
      </c>
      <c r="H28" s="39">
        <f t="shared" si="12"/>
        <v>2100</v>
      </c>
      <c r="I28" s="39">
        <f>E15-H28</f>
        <v>112.21000000007916</v>
      </c>
      <c r="J28" s="40">
        <f>E15*0.085</f>
        <v>188.03785000000676</v>
      </c>
      <c r="K28" s="40">
        <f t="shared" si="13"/>
        <v>-75.827849999927594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11250</v>
      </c>
      <c r="AI28" s="38">
        <v>9150</v>
      </c>
      <c r="AJ28" s="39">
        <f t="shared" si="14"/>
        <v>2100</v>
      </c>
      <c r="AK28" s="39">
        <f>AG15-AJ28</f>
        <v>112</v>
      </c>
      <c r="AL28" s="40">
        <f>AG15*0.085</f>
        <v>188.02</v>
      </c>
      <c r="AM28" s="40">
        <f t="shared" si="15"/>
        <v>-76.02000000000001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11850</v>
      </c>
      <c r="G29" s="38">
        <v>3900</v>
      </c>
      <c r="H29" s="39">
        <f>F29+V12-G29</f>
        <v>7950</v>
      </c>
      <c r="I29" s="39">
        <f>E18-H29</f>
        <v>455.86999999999534</v>
      </c>
      <c r="J29" s="40">
        <f>E18*0.085</f>
        <v>714.4989499999997</v>
      </c>
      <c r="K29" s="40">
        <f t="shared" si="13"/>
        <v>-258.62895000000435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11850</v>
      </c>
      <c r="AI29" s="38">
        <v>3900</v>
      </c>
      <c r="AJ29" s="39">
        <f t="shared" si="14"/>
        <v>7950</v>
      </c>
      <c r="AK29" s="39">
        <f>AG18-AJ29</f>
        <v>456</v>
      </c>
      <c r="AL29" s="40">
        <f>AG18*0.085</f>
        <v>714.5100000000001</v>
      </c>
      <c r="AM29" s="40">
        <f t="shared" si="15"/>
        <v>-258.5100000000001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50</v>
      </c>
      <c r="G30" s="38">
        <v>50</v>
      </c>
      <c r="H30" s="39">
        <f t="shared" si="12"/>
        <v>0</v>
      </c>
      <c r="I30" s="39">
        <f>E21-H30</f>
        <v>0</v>
      </c>
      <c r="J30" s="40">
        <f>E21*0.085</f>
        <v>0</v>
      </c>
      <c r="K30" s="40">
        <f t="shared" si="13"/>
        <v>0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50</v>
      </c>
      <c r="AI30" s="38">
        <v>50</v>
      </c>
      <c r="AJ30" s="39">
        <f t="shared" si="14"/>
        <v>0</v>
      </c>
      <c r="AK30" s="39">
        <f>AG21-AJ30</f>
        <v>0</v>
      </c>
      <c r="AL30" s="40">
        <f>AG21*0.085</f>
        <v>0</v>
      </c>
      <c r="AM30" s="40">
        <f t="shared" si="15"/>
        <v>0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975765</v>
      </c>
      <c r="C33" s="16">
        <v>0</v>
      </c>
      <c r="D33" s="16">
        <v>0</v>
      </c>
      <c r="E33" s="16">
        <v>238336.7</v>
      </c>
      <c r="F33" s="16">
        <v>0</v>
      </c>
      <c r="G33" s="16">
        <v>0</v>
      </c>
      <c r="H33" s="49">
        <v>0</v>
      </c>
      <c r="I33" s="16">
        <v>0</v>
      </c>
      <c r="J33" s="16">
        <v>523320</v>
      </c>
      <c r="K33" s="16">
        <v>0</v>
      </c>
      <c r="L33" s="16">
        <v>345760</v>
      </c>
      <c r="M33" s="16">
        <v>17466412.59</v>
      </c>
      <c r="N33" s="16">
        <v>1627878</v>
      </c>
      <c r="O33" s="16">
        <v>0</v>
      </c>
      <c r="P33" s="16">
        <v>657816</v>
      </c>
      <c r="Q33" s="16">
        <v>0</v>
      </c>
      <c r="R33" s="49">
        <v>211700</v>
      </c>
      <c r="S33" s="16">
        <v>0</v>
      </c>
      <c r="T33" s="16">
        <v>26927998.73</v>
      </c>
      <c r="U33" s="42">
        <f>SUM(S22-A33-B33-W27-C33-D33-E33-F33-G33-H33-I33-J33-K33-L33-M33-N33-O33-P33-Q33-R33-J35-K35-L35-M35-N35-O35-P35-Q35-S33+T33)</f>
        <v>27929216.829999845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807617.71</v>
      </c>
      <c r="N35" s="16">
        <v>0</v>
      </c>
      <c r="O35" s="16">
        <v>663052</v>
      </c>
      <c r="P35" s="16">
        <v>947495</v>
      </c>
      <c r="Q35" s="16">
        <v>666577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E16" workbookViewId="0">
      <selection activeCell="U36" sqref="U36"/>
    </sheetView>
  </sheetViews>
  <sheetFormatPr defaultRowHeight="15" x14ac:dyDescent="0.25"/>
  <cols>
    <col min="9" max="9" width="10" bestFit="1" customWidth="1"/>
    <col min="10" max="10" width="10.85546875" bestFit="1" customWidth="1"/>
    <col min="20" max="20" width="10.85546875" bestFit="1" customWidth="1"/>
    <col min="21" max="21" width="14.7109375" bestFit="1" customWidth="1"/>
  </cols>
  <sheetData>
    <row r="1" spans="1:51" x14ac:dyDescent="0.25">
      <c r="A1" s="1">
        <v>46273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1045519.76</v>
      </c>
      <c r="G4" s="4">
        <v>1045901.27</v>
      </c>
      <c r="H4" s="4">
        <v>1045901.27</v>
      </c>
      <c r="I4" s="4"/>
      <c r="J4" s="4"/>
      <c r="K4" s="10">
        <f>G4-F4</f>
        <v>381.51000000000931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491766.390000012</v>
      </c>
      <c r="T4" s="6"/>
      <c r="U4" s="7" t="s">
        <v>9</v>
      </c>
      <c r="V4" s="11">
        <f>E6+E9+E12+E15</f>
        <v>7914.3600000001024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1045547</v>
      </c>
      <c r="AI4" s="4">
        <v>1045929</v>
      </c>
      <c r="AJ4" s="4">
        <v>1045929</v>
      </c>
      <c r="AK4" s="4"/>
      <c r="AL4" s="4"/>
      <c r="AM4" s="10">
        <f>AI4-AH4</f>
        <v>382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464130</v>
      </c>
      <c r="AV4" s="6"/>
      <c r="AW4" s="7" t="s">
        <v>9</v>
      </c>
      <c r="AX4" s="11">
        <f>AG6+AG9+AG12+AG15</f>
        <v>7914</v>
      </c>
      <c r="AY4" s="11"/>
    </row>
    <row r="5" spans="1:51" x14ac:dyDescent="0.25">
      <c r="C5" s="2"/>
      <c r="D5" s="4"/>
      <c r="E5" s="4" t="s">
        <v>11</v>
      </c>
      <c r="F5" s="4">
        <v>1332255.33</v>
      </c>
      <c r="G5" s="4">
        <v>1333379.78</v>
      </c>
      <c r="H5" s="4">
        <v>1333379.78</v>
      </c>
      <c r="I5" s="4"/>
      <c r="J5" s="4"/>
      <c r="K5" s="10">
        <f>G5-F5</f>
        <v>1124.4499999999534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1449416.04999994</v>
      </c>
      <c r="T5" s="6"/>
      <c r="U5" s="7" t="s">
        <v>12</v>
      </c>
      <c r="V5" s="15">
        <f>E18+E21</f>
        <v>2153.6300000000047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1332290</v>
      </c>
      <c r="AI5" s="4">
        <v>1333414</v>
      </c>
      <c r="AJ5" s="4">
        <v>1333414</v>
      </c>
      <c r="AK5" s="4"/>
      <c r="AL5" s="4"/>
      <c r="AM5" s="10">
        <f>AI5-AH5</f>
        <v>1124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1365660</v>
      </c>
      <c r="AV5" s="6"/>
      <c r="AW5" s="7" t="s">
        <v>12</v>
      </c>
      <c r="AX5" s="15">
        <f>AG18+AG21</f>
        <v>2154</v>
      </c>
      <c r="AY5" s="15"/>
    </row>
    <row r="6" spans="1:51" x14ac:dyDescent="0.25">
      <c r="C6" s="2"/>
      <c r="D6" s="18" t="s">
        <v>14</v>
      </c>
      <c r="E6" s="3">
        <f>K6+M6+O6+Q6</f>
        <v>1505.9599999999627</v>
      </c>
      <c r="F6" s="4"/>
      <c r="G6" s="4"/>
      <c r="H6" s="4"/>
      <c r="I6" s="4"/>
      <c r="J6" s="4"/>
      <c r="K6" s="19">
        <f>SUM(K4:K5)</f>
        <v>1505.9599999999627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1506</v>
      </c>
      <c r="AH6" s="4"/>
      <c r="AI6" s="4"/>
      <c r="AJ6" s="4"/>
      <c r="AK6" s="4"/>
      <c r="AL6" s="4"/>
      <c r="AM6" s="19">
        <f>SUM(AM4:AM5)</f>
        <v>1506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710192.07</v>
      </c>
      <c r="G7" s="4">
        <v>711793.96</v>
      </c>
      <c r="H7" s="4">
        <v>711793.96</v>
      </c>
      <c r="I7" s="4"/>
      <c r="J7" s="4"/>
      <c r="K7" s="10">
        <f>G7-F7</f>
        <v>1601.890000000014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2064836.2100000181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710234</v>
      </c>
      <c r="AI7" s="4">
        <v>711836</v>
      </c>
      <c r="AJ7" s="4">
        <v>711836</v>
      </c>
      <c r="AK7" s="4"/>
      <c r="AL7" s="4"/>
      <c r="AM7" s="10">
        <f>AI7-AH7</f>
        <v>1602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1946430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1109815.42</v>
      </c>
      <c r="G8" s="6">
        <v>1109816.58</v>
      </c>
      <c r="H8" s="6">
        <v>1109816.58</v>
      </c>
      <c r="I8" s="6"/>
      <c r="J8" s="6"/>
      <c r="K8" s="10">
        <f>G8-F8</f>
        <v>1.1600000001490116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1495.240000192076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1109858</v>
      </c>
      <c r="AI8" s="6">
        <v>1109859</v>
      </c>
      <c r="AJ8" s="6">
        <v>1109859</v>
      </c>
      <c r="AK8" s="6"/>
      <c r="AL8" s="6"/>
      <c r="AM8" s="10">
        <f>AI8-AH8</f>
        <v>1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1215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1603.050000000163</v>
      </c>
      <c r="F9" s="4"/>
      <c r="G9" s="4"/>
      <c r="H9" s="4"/>
      <c r="I9" s="4"/>
      <c r="J9" s="4"/>
      <c r="K9" s="19">
        <f>SUM(K7:K8)</f>
        <v>1603.050000000163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1603</v>
      </c>
      <c r="AH9" s="4"/>
      <c r="AI9" s="4"/>
      <c r="AJ9" s="4"/>
      <c r="AK9" s="4"/>
      <c r="AL9" s="4"/>
      <c r="AM9" s="19">
        <f>SUM(AM7:AM8)</f>
        <v>1603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597530.57999999996</v>
      </c>
      <c r="G10" s="6">
        <v>599354.46</v>
      </c>
      <c r="H10" s="6">
        <v>599354.46</v>
      </c>
      <c r="I10" s="6"/>
      <c r="J10" s="6"/>
      <c r="K10" s="10">
        <f>G10-F10</f>
        <v>1823.8800000000047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2350981.3200000059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597536</v>
      </c>
      <c r="AI10" s="6">
        <v>599360</v>
      </c>
      <c r="AJ10" s="6">
        <v>599360</v>
      </c>
      <c r="AK10" s="6"/>
      <c r="AL10" s="6"/>
      <c r="AM10" s="10">
        <f>AI10-AH10</f>
        <v>1824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2216160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942716.79</v>
      </c>
      <c r="G11" s="6">
        <v>943652.25</v>
      </c>
      <c r="H11" s="6">
        <v>943652.25</v>
      </c>
      <c r="I11" s="6"/>
      <c r="J11" s="6"/>
      <c r="K11" s="10">
        <f>G11-F11</f>
        <v>935.45999999996275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1205807.939999952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942758</v>
      </c>
      <c r="AI11" s="6">
        <v>943693</v>
      </c>
      <c r="AJ11" s="6">
        <v>943693</v>
      </c>
      <c r="AK11" s="6"/>
      <c r="AL11" s="6"/>
      <c r="AM11" s="10">
        <f>AI11-AH11</f>
        <v>935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1136025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2759.3399999999674</v>
      </c>
      <c r="F12" s="4"/>
      <c r="G12" s="4"/>
      <c r="H12" s="4"/>
      <c r="I12" s="4"/>
      <c r="J12" s="4"/>
      <c r="K12" s="19">
        <f>SUM(K10:K11)</f>
        <v>2759.3399999999674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2759</v>
      </c>
      <c r="AH12" s="4"/>
      <c r="AI12" s="4"/>
      <c r="AJ12" s="4"/>
      <c r="AK12" s="4"/>
      <c r="AL12" s="4"/>
      <c r="AM12" s="19">
        <f>SUM(AM10:AM11)</f>
        <v>2759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528965.07999999996</v>
      </c>
      <c r="G13" s="6">
        <v>530193.25</v>
      </c>
      <c r="H13" s="6">
        <v>530193.25</v>
      </c>
      <c r="I13" s="6"/>
      <c r="J13" s="6"/>
      <c r="K13" s="10">
        <f>G13-F13</f>
        <v>1228.1700000000419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1583111.1300000539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529007</v>
      </c>
      <c r="AI13" s="6">
        <v>530235</v>
      </c>
      <c r="AJ13" s="6">
        <v>530235</v>
      </c>
      <c r="AK13" s="6"/>
      <c r="AL13" s="6"/>
      <c r="AM13" s="10">
        <f>AI13-AH13</f>
        <v>1228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1492020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932586.77</v>
      </c>
      <c r="G14" s="4">
        <v>933404.61</v>
      </c>
      <c r="H14" s="4">
        <v>933404.61</v>
      </c>
      <c r="I14" s="4"/>
      <c r="J14" s="4"/>
      <c r="K14" s="10">
        <f>G14-F14</f>
        <v>817.8399999999674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1054195.7599999579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932619</v>
      </c>
      <c r="AI14" s="4">
        <v>933437</v>
      </c>
      <c r="AJ14" s="4">
        <v>933437</v>
      </c>
      <c r="AK14" s="4"/>
      <c r="AL14" s="4"/>
      <c r="AM14" s="10">
        <f>AI14-AH14</f>
        <v>818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993870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2046.0100000000093</v>
      </c>
      <c r="F15" s="4"/>
      <c r="G15" s="4"/>
      <c r="H15" s="4"/>
      <c r="I15" s="4"/>
      <c r="J15" s="4"/>
      <c r="K15" s="19">
        <f>SUM(K13:K14)</f>
        <v>2046.0100000000093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2046</v>
      </c>
      <c r="AH15" s="4"/>
      <c r="AI15" s="4"/>
      <c r="AJ15" s="4"/>
      <c r="AK15" s="4"/>
      <c r="AL15" s="4"/>
      <c r="AM15" s="19">
        <f>SUM(AM13:AM14)</f>
        <v>2046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703541.03</v>
      </c>
      <c r="G16" s="4">
        <v>703948.05</v>
      </c>
      <c r="H16" s="4">
        <v>703948.05</v>
      </c>
      <c r="I16" s="4"/>
      <c r="J16" s="4"/>
      <c r="K16" s="10">
        <f>G16-F16</f>
        <v>407.02000000001863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760720.38000003481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2057913</v>
      </c>
      <c r="AI16" s="4">
        <v>2058320</v>
      </c>
      <c r="AJ16" s="4">
        <v>2058320</v>
      </c>
      <c r="AK16" s="4"/>
      <c r="AL16" s="4"/>
      <c r="AM16" s="10">
        <f>AI16-AH16</f>
        <v>407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760683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696293.53</v>
      </c>
      <c r="G17" s="6">
        <v>698040.14</v>
      </c>
      <c r="H17" s="6">
        <v>698040.14</v>
      </c>
      <c r="I17" s="6"/>
      <c r="J17" s="6"/>
      <c r="K17" s="10">
        <f>G17-F17</f>
        <v>1746.609999999986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3264414.0899999738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1729735</v>
      </c>
      <c r="AI17" s="6">
        <v>1731482</v>
      </c>
      <c r="AJ17" s="6">
        <v>1731482</v>
      </c>
      <c r="AK17" s="6"/>
      <c r="AL17" s="6"/>
      <c r="AM17" s="10">
        <f>AI17-AH17</f>
        <v>1747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3265143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2153.6300000000047</v>
      </c>
      <c r="F18" s="4"/>
      <c r="G18" s="4"/>
      <c r="H18" s="4"/>
      <c r="I18" s="4"/>
      <c r="J18" s="4"/>
      <c r="K18" s="19">
        <f>SUM(K16:K17)</f>
        <v>2153.6300000000047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2154</v>
      </c>
      <c r="AH18" s="4"/>
      <c r="AI18" s="4"/>
      <c r="AJ18" s="4"/>
      <c r="AK18" s="4"/>
      <c r="AL18" s="4"/>
      <c r="AM18" s="19">
        <f>SUM(AM16:AM17)</f>
        <v>2154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402062.71</v>
      </c>
      <c r="G19" s="6">
        <v>402062.71</v>
      </c>
      <c r="H19" s="6">
        <v>402062.71</v>
      </c>
      <c r="I19" s="6"/>
      <c r="J19" s="6"/>
      <c r="K19" s="10">
        <f t="shared" ref="K19:K20" si="8">G19-F19</f>
        <v>0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0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1242074</v>
      </c>
      <c r="AI19" s="6">
        <v>1242074</v>
      </c>
      <c r="AJ19" s="6">
        <v>1242074</v>
      </c>
      <c r="AK19" s="6"/>
      <c r="AL19" s="6"/>
      <c r="AM19" s="10">
        <f t="shared" ref="AM19:AM20" si="10">AI19-AH19</f>
        <v>0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0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487345.42</v>
      </c>
      <c r="G20" s="6">
        <v>487345.42</v>
      </c>
      <c r="H20" s="6">
        <v>487345.42</v>
      </c>
      <c r="I20" s="6"/>
      <c r="J20" s="6"/>
      <c r="K20" s="10">
        <f t="shared" si="8"/>
        <v>0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0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1261874</v>
      </c>
      <c r="AI20" s="6">
        <v>1261874</v>
      </c>
      <c r="AJ20" s="6">
        <v>1261874</v>
      </c>
      <c r="AK20" s="6"/>
      <c r="AL20" s="6"/>
      <c r="AM20" s="10">
        <f t="shared" si="10"/>
        <v>0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0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0</v>
      </c>
      <c r="F21" s="4"/>
      <c r="G21" s="4"/>
      <c r="H21" s="4"/>
      <c r="I21" s="4"/>
      <c r="J21" s="4"/>
      <c r="K21" s="19">
        <f>SUM(K19:K20)</f>
        <v>0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0</v>
      </c>
      <c r="AH21" s="4"/>
      <c r="AI21" s="4"/>
      <c r="AJ21" s="4"/>
      <c r="AK21" s="4"/>
      <c r="AL21" s="4"/>
      <c r="AM21" s="19">
        <f>SUM(AM19:AM20)</f>
        <v>0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20135.980000000214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14226744.510000141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20136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13641336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30500</v>
      </c>
      <c r="G25" s="38">
        <v>29000</v>
      </c>
      <c r="H25" s="39">
        <f t="shared" ref="H25:H30" si="12">F25+V8-G25</f>
        <v>1500</v>
      </c>
      <c r="I25" s="39">
        <f>E6-H25</f>
        <v>5.9599999999627471</v>
      </c>
      <c r="J25" s="40">
        <f>E6*0.085</f>
        <v>128.00659999999684</v>
      </c>
      <c r="K25" s="40">
        <f t="shared" ref="K25:K30" si="13">I25-J25</f>
        <v>-122.04660000003409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30500</v>
      </c>
      <c r="AI25" s="38">
        <v>29000</v>
      </c>
      <c r="AJ25" s="39">
        <f t="shared" ref="AJ25:AJ30" si="14">AH25+AX8-AI25</f>
        <v>1500</v>
      </c>
      <c r="AK25" s="39">
        <f>AG6-AJ25</f>
        <v>6</v>
      </c>
      <c r="AL25" s="40">
        <f>AG6*0.085</f>
        <v>128.01000000000002</v>
      </c>
      <c r="AM25" s="40">
        <f t="shared" ref="AM25:AM30" si="15">AK25-AL25</f>
        <v>-122.01000000000002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19850</v>
      </c>
      <c r="G26" s="38">
        <v>18400</v>
      </c>
      <c r="H26" s="39">
        <f t="shared" si="12"/>
        <v>1450</v>
      </c>
      <c r="I26" s="39">
        <f>E9-H26</f>
        <v>153.05000000016298</v>
      </c>
      <c r="J26" s="40">
        <f>E9*0.085</f>
        <v>136.25925000001385</v>
      </c>
      <c r="K26" s="40">
        <f t="shared" si="13"/>
        <v>16.790750000149131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19850</v>
      </c>
      <c r="AI26" s="38">
        <v>18400</v>
      </c>
      <c r="AJ26" s="39">
        <f t="shared" si="14"/>
        <v>1450</v>
      </c>
      <c r="AK26" s="39">
        <f>AG9-AJ26</f>
        <v>153</v>
      </c>
      <c r="AL26" s="40">
        <f>AG9*0.085</f>
        <v>136.25500000000002</v>
      </c>
      <c r="AM26" s="40">
        <f t="shared" si="15"/>
        <v>16.744999999999976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17200</v>
      </c>
      <c r="G27" s="38">
        <v>14550</v>
      </c>
      <c r="H27" s="39">
        <f t="shared" si="12"/>
        <v>2650</v>
      </c>
      <c r="I27" s="39">
        <f>E12-H27</f>
        <v>109.3399999999674</v>
      </c>
      <c r="J27" s="40">
        <f>E12*0.085</f>
        <v>234.54389999999725</v>
      </c>
      <c r="K27" s="40">
        <f t="shared" si="13"/>
        <v>-125.20390000002985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17200</v>
      </c>
      <c r="AI27" s="38">
        <v>14550</v>
      </c>
      <c r="AJ27" s="39">
        <f t="shared" si="14"/>
        <v>2650</v>
      </c>
      <c r="AK27" s="39">
        <f>AG12-AJ27</f>
        <v>109</v>
      </c>
      <c r="AL27" s="40">
        <f>AG12*0.085</f>
        <v>234.51500000000001</v>
      </c>
      <c r="AM27" s="40">
        <f t="shared" si="15"/>
        <v>-125.51500000000001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9150</v>
      </c>
      <c r="G28" s="38">
        <v>7200</v>
      </c>
      <c r="H28" s="39">
        <f t="shared" si="12"/>
        <v>1950</v>
      </c>
      <c r="I28" s="39">
        <f>E15-H28</f>
        <v>96.010000000009313</v>
      </c>
      <c r="J28" s="40">
        <f>E15*0.085</f>
        <v>173.91085000000081</v>
      </c>
      <c r="K28" s="40">
        <f t="shared" si="13"/>
        <v>-77.900849999991493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9150</v>
      </c>
      <c r="AI28" s="38">
        <v>7200</v>
      </c>
      <c r="AJ28" s="39">
        <f t="shared" si="14"/>
        <v>1950</v>
      </c>
      <c r="AK28" s="39">
        <f>AG15-AJ28</f>
        <v>96</v>
      </c>
      <c r="AL28" s="40">
        <f>AG15*0.085</f>
        <v>173.91000000000003</v>
      </c>
      <c r="AM28" s="40">
        <f t="shared" si="15"/>
        <v>-77.910000000000025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3900</v>
      </c>
      <c r="G29" s="38">
        <v>1850</v>
      </c>
      <c r="H29" s="39">
        <f>F29+V12-G29</f>
        <v>2050</v>
      </c>
      <c r="I29" s="39">
        <f>E18-H29</f>
        <v>103.63000000000466</v>
      </c>
      <c r="J29" s="40">
        <f>E18*0.085</f>
        <v>183.05855000000042</v>
      </c>
      <c r="K29" s="40">
        <f t="shared" si="13"/>
        <v>-79.428549999995766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3900</v>
      </c>
      <c r="AI29" s="38">
        <v>1850</v>
      </c>
      <c r="AJ29" s="39">
        <f t="shared" si="14"/>
        <v>2050</v>
      </c>
      <c r="AK29" s="39">
        <f>AG18-AJ29</f>
        <v>104</v>
      </c>
      <c r="AL29" s="40">
        <f>AG18*0.085</f>
        <v>183.09</v>
      </c>
      <c r="AM29" s="40">
        <f t="shared" si="15"/>
        <v>-79.09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50</v>
      </c>
      <c r="G30" s="38">
        <v>50</v>
      </c>
      <c r="H30" s="39">
        <f t="shared" si="12"/>
        <v>0</v>
      </c>
      <c r="I30" s="39">
        <f>E21-H30</f>
        <v>0</v>
      </c>
      <c r="J30" s="40">
        <f>E21*0.085</f>
        <v>0</v>
      </c>
      <c r="K30" s="40">
        <f t="shared" si="13"/>
        <v>0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50</v>
      </c>
      <c r="AI30" s="38">
        <v>50</v>
      </c>
      <c r="AJ30" s="39">
        <f t="shared" si="14"/>
        <v>0</v>
      </c>
      <c r="AK30" s="39">
        <f>AG21-AJ30</f>
        <v>0</v>
      </c>
      <c r="AL30" s="40">
        <f>AG21*0.085</f>
        <v>0</v>
      </c>
      <c r="AM30" s="40">
        <f t="shared" si="15"/>
        <v>0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1366246.69</v>
      </c>
      <c r="B33" s="45">
        <v>0</v>
      </c>
      <c r="C33" s="16">
        <v>0</v>
      </c>
      <c r="D33" s="16">
        <v>0</v>
      </c>
      <c r="E33" s="16">
        <v>180000</v>
      </c>
      <c r="F33" s="16">
        <v>0</v>
      </c>
      <c r="G33" s="16">
        <v>596203</v>
      </c>
      <c r="H33" s="49">
        <v>0</v>
      </c>
      <c r="I33" s="16">
        <v>1171485</v>
      </c>
      <c r="J33" s="16">
        <v>24040303.280000001</v>
      </c>
      <c r="K33" s="16">
        <v>0</v>
      </c>
      <c r="L33" s="16">
        <v>0</v>
      </c>
      <c r="M33" s="16">
        <v>168140</v>
      </c>
      <c r="N33" s="16">
        <v>0</v>
      </c>
      <c r="O33" s="16">
        <v>487234</v>
      </c>
      <c r="P33" s="16">
        <v>0</v>
      </c>
      <c r="Q33" s="16">
        <v>49380</v>
      </c>
      <c r="R33" s="49">
        <v>0</v>
      </c>
      <c r="S33" s="16">
        <v>0</v>
      </c>
      <c r="T33" s="16">
        <v>27929216.829999998</v>
      </c>
      <c r="U33" s="42">
        <f>SUM(S22-A33-B33-W27-C33-D33-E33-F33-G33-H33-I33-J33-K33-L33-M33-N33-O33-P33-Q33-R33-J35-K35-L35-M35-N35-O35-P35-Q35-S33+T33)</f>
        <v>12449622.440000139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721655.68</v>
      </c>
      <c r="K35" s="16"/>
      <c r="L35" s="16">
        <v>0</v>
      </c>
      <c r="M35" s="16">
        <v>0</v>
      </c>
      <c r="N35" s="16">
        <v>925691.25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E14" workbookViewId="0">
      <selection activeCell="K36" sqref="K36"/>
    </sheetView>
  </sheetViews>
  <sheetFormatPr defaultRowHeight="15" x14ac:dyDescent="0.25"/>
  <cols>
    <col min="10" max="10" width="10" bestFit="1" customWidth="1"/>
    <col min="13" max="13" width="10.85546875" bestFit="1" customWidth="1"/>
    <col min="14" max="14" width="10" bestFit="1" customWidth="1"/>
    <col min="19" max="19" width="12" bestFit="1" customWidth="1"/>
    <col min="20" max="20" width="10.85546875" bestFit="1" customWidth="1"/>
    <col min="21" max="21" width="16.140625" customWidth="1"/>
  </cols>
  <sheetData>
    <row r="1" spans="1:51" x14ac:dyDescent="0.25">
      <c r="A1" s="1">
        <v>46274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1045901.27</v>
      </c>
      <c r="G4" s="4">
        <v>1046387.19</v>
      </c>
      <c r="H4" s="4">
        <v>1046387.19</v>
      </c>
      <c r="I4" s="4"/>
      <c r="J4" s="4"/>
      <c r="K4" s="10">
        <f>G4-F4</f>
        <v>485.91999999992549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626350.87999990396</v>
      </c>
      <c r="T4" s="6"/>
      <c r="U4" s="7" t="s">
        <v>9</v>
      </c>
      <c r="V4" s="11">
        <f>E6+E9+E12+E15</f>
        <v>6594.4799999996321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1045929</v>
      </c>
      <c r="AI4" s="4">
        <v>1046415</v>
      </c>
      <c r="AJ4" s="4">
        <v>1046415</v>
      </c>
      <c r="AK4" s="4"/>
      <c r="AL4" s="4"/>
      <c r="AM4" s="10">
        <f>AI4-AH4</f>
        <v>486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590490</v>
      </c>
      <c r="AV4" s="6"/>
      <c r="AW4" s="7" t="s">
        <v>9</v>
      </c>
      <c r="AX4" s="11">
        <f>AG6+AG9+AG12+AG15</f>
        <v>6594</v>
      </c>
      <c r="AY4" s="11"/>
    </row>
    <row r="5" spans="1:51" x14ac:dyDescent="0.25">
      <c r="C5" s="2"/>
      <c r="D5" s="4"/>
      <c r="E5" s="4" t="s">
        <v>11</v>
      </c>
      <c r="F5" s="4">
        <v>1333379.78</v>
      </c>
      <c r="G5" s="4">
        <v>1334187.8999999999</v>
      </c>
      <c r="H5" s="4">
        <v>1334187.8999999999</v>
      </c>
      <c r="I5" s="4"/>
      <c r="J5" s="4"/>
      <c r="K5" s="10">
        <f>G5-F5</f>
        <v>808.11999999987893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1041666.6799998439</v>
      </c>
      <c r="T5" s="6"/>
      <c r="U5" s="7" t="s">
        <v>12</v>
      </c>
      <c r="V5" s="15">
        <f>E18+E21</f>
        <v>8642.0399999999208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1333414</v>
      </c>
      <c r="AI5" s="4">
        <v>1334222</v>
      </c>
      <c r="AJ5" s="4">
        <v>1334222</v>
      </c>
      <c r="AK5" s="4"/>
      <c r="AL5" s="4"/>
      <c r="AM5" s="10">
        <f>AI5-AH5</f>
        <v>808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981720</v>
      </c>
      <c r="AV5" s="6"/>
      <c r="AW5" s="7" t="s">
        <v>12</v>
      </c>
      <c r="AX5" s="15">
        <f>AG18+AG21</f>
        <v>8642</v>
      </c>
      <c r="AY5" s="15"/>
    </row>
    <row r="6" spans="1:51" x14ac:dyDescent="0.25">
      <c r="C6" s="2"/>
      <c r="D6" s="18" t="s">
        <v>14</v>
      </c>
      <c r="E6" s="3">
        <f>K6+M6+O6+Q6</f>
        <v>1294.0399999998044</v>
      </c>
      <c r="F6" s="4"/>
      <c r="G6" s="4"/>
      <c r="H6" s="4"/>
      <c r="I6" s="4"/>
      <c r="J6" s="4"/>
      <c r="K6" s="19">
        <f>SUM(K4:K5)</f>
        <v>1294.0399999998044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1294</v>
      </c>
      <c r="AH6" s="4"/>
      <c r="AI6" s="4"/>
      <c r="AJ6" s="4"/>
      <c r="AK6" s="4"/>
      <c r="AL6" s="4"/>
      <c r="AM6" s="19">
        <f>SUM(AM4:AM5)</f>
        <v>1294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711793.96</v>
      </c>
      <c r="G7" s="4">
        <v>712529.84</v>
      </c>
      <c r="H7" s="4">
        <v>712529.84</v>
      </c>
      <c r="I7" s="4"/>
      <c r="J7" s="4"/>
      <c r="K7" s="10">
        <f>G7-F7</f>
        <v>735.88000000000466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948549.320000006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711836</v>
      </c>
      <c r="AI7" s="4">
        <v>712572</v>
      </c>
      <c r="AJ7" s="4">
        <v>712572</v>
      </c>
      <c r="AK7" s="4"/>
      <c r="AL7" s="4"/>
      <c r="AM7" s="10">
        <f>AI7-AH7</f>
        <v>736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894240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1109816.58</v>
      </c>
      <c r="G8" s="6">
        <v>1111678.1599999999</v>
      </c>
      <c r="H8" s="6">
        <v>1111678.1599999999</v>
      </c>
      <c r="I8" s="6"/>
      <c r="J8" s="6"/>
      <c r="K8" s="10">
        <f>G8-F8</f>
        <v>1861.5799999998417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2399576.6199997962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1109859</v>
      </c>
      <c r="AI8" s="6">
        <v>1111720</v>
      </c>
      <c r="AJ8" s="6">
        <v>1111720</v>
      </c>
      <c r="AK8" s="6"/>
      <c r="AL8" s="6"/>
      <c r="AM8" s="10">
        <f>AI8-AH8</f>
        <v>1861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2261115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2597.4599999998463</v>
      </c>
      <c r="F9" s="4"/>
      <c r="G9" s="4"/>
      <c r="H9" s="4"/>
      <c r="I9" s="4"/>
      <c r="J9" s="4"/>
      <c r="K9" s="19">
        <f>SUM(K7:K8)</f>
        <v>2597.4599999998463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2597</v>
      </c>
      <c r="AH9" s="4"/>
      <c r="AI9" s="4"/>
      <c r="AJ9" s="4"/>
      <c r="AK9" s="4"/>
      <c r="AL9" s="4"/>
      <c r="AM9" s="19">
        <f>SUM(AM7:AM8)</f>
        <v>2597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599354.46</v>
      </c>
      <c r="G10" s="6">
        <v>599656.5</v>
      </c>
      <c r="H10" s="6">
        <v>599656.5</v>
      </c>
      <c r="I10" s="6"/>
      <c r="J10" s="6"/>
      <c r="K10" s="10">
        <f>G10-F10</f>
        <v>302.04000000003725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389329.56000004802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599360</v>
      </c>
      <c r="AI10" s="6">
        <v>599662</v>
      </c>
      <c r="AJ10" s="6">
        <v>599662</v>
      </c>
      <c r="AK10" s="6"/>
      <c r="AL10" s="6"/>
      <c r="AM10" s="10">
        <f>AI10-AH10</f>
        <v>302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366930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943652.25</v>
      </c>
      <c r="G11" s="6">
        <v>944700.28</v>
      </c>
      <c r="H11" s="6">
        <v>944700.28</v>
      </c>
      <c r="I11" s="6"/>
      <c r="J11" s="6"/>
      <c r="K11" s="10">
        <f>G11-F11</f>
        <v>1048.0300000000279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1350910.670000036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943693</v>
      </c>
      <c r="AI11" s="6">
        <v>944742</v>
      </c>
      <c r="AJ11" s="6">
        <v>944742</v>
      </c>
      <c r="AK11" s="6"/>
      <c r="AL11" s="6"/>
      <c r="AM11" s="10">
        <f>AI11-AH11</f>
        <v>1049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1274535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1350.0700000000652</v>
      </c>
      <c r="F12" s="4"/>
      <c r="G12" s="4"/>
      <c r="H12" s="4"/>
      <c r="I12" s="4"/>
      <c r="J12" s="4"/>
      <c r="K12" s="19">
        <f>SUM(K10:K11)</f>
        <v>1350.0700000000652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>
        <v>37050</v>
      </c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1351</v>
      </c>
      <c r="AH12" s="4"/>
      <c r="AI12" s="4"/>
      <c r="AJ12" s="4"/>
      <c r="AK12" s="4"/>
      <c r="AL12" s="4"/>
      <c r="AM12" s="19">
        <f>SUM(AM10:AM11)</f>
        <v>1351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>
        <v>37050</v>
      </c>
      <c r="AY12" s="23"/>
    </row>
    <row r="13" spans="1:51" x14ac:dyDescent="0.25">
      <c r="C13" s="2"/>
      <c r="D13" s="2"/>
      <c r="E13" s="4" t="s">
        <v>26</v>
      </c>
      <c r="F13" s="6">
        <v>530193.25</v>
      </c>
      <c r="G13" s="6">
        <v>530826.32999999996</v>
      </c>
      <c r="H13" s="6">
        <v>530826.32999999996</v>
      </c>
      <c r="I13" s="6"/>
      <c r="J13" s="6"/>
      <c r="K13" s="10">
        <f>G13-F13</f>
        <v>633.07999999995809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816040.11999994598</v>
      </c>
      <c r="T13" s="6"/>
      <c r="U13" s="7" t="s">
        <v>27</v>
      </c>
      <c r="V13" s="23">
        <v>23100</v>
      </c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530235</v>
      </c>
      <c r="AI13" s="6">
        <v>530868</v>
      </c>
      <c r="AJ13" s="6">
        <v>530868</v>
      </c>
      <c r="AK13" s="6"/>
      <c r="AL13" s="6"/>
      <c r="AM13" s="10">
        <f>AI13-AH13</f>
        <v>633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769095</v>
      </c>
      <c r="AV13" s="6"/>
      <c r="AW13" s="7" t="s">
        <v>27</v>
      </c>
      <c r="AX13" s="23">
        <v>23100</v>
      </c>
      <c r="AY13" s="23"/>
    </row>
    <row r="14" spans="1:51" x14ac:dyDescent="0.25">
      <c r="C14" s="2"/>
      <c r="D14" s="18"/>
      <c r="E14" s="4" t="s">
        <v>28</v>
      </c>
      <c r="F14" s="4">
        <v>933404.61</v>
      </c>
      <c r="G14" s="4">
        <v>934124.44</v>
      </c>
      <c r="H14" s="4">
        <v>934124.44</v>
      </c>
      <c r="I14" s="4"/>
      <c r="J14" s="4"/>
      <c r="K14" s="10">
        <f>G14-F14</f>
        <v>719.82999999995809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927860.86999994598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933437</v>
      </c>
      <c r="AI14" s="4">
        <v>934156</v>
      </c>
      <c r="AJ14" s="4">
        <v>934156</v>
      </c>
      <c r="AK14" s="4"/>
      <c r="AL14" s="4"/>
      <c r="AM14" s="10">
        <f>AI14-AH14</f>
        <v>719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873585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1352.9099999999162</v>
      </c>
      <c r="F15" s="4"/>
      <c r="G15" s="4"/>
      <c r="H15" s="4"/>
      <c r="I15" s="4"/>
      <c r="J15" s="4"/>
      <c r="K15" s="19">
        <f>SUM(K13:K14)</f>
        <v>1352.9099999999162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1352</v>
      </c>
      <c r="AH15" s="4"/>
      <c r="AI15" s="4"/>
      <c r="AJ15" s="4"/>
      <c r="AK15" s="4"/>
      <c r="AL15" s="4"/>
      <c r="AM15" s="19">
        <f>SUM(AM13:AM14)</f>
        <v>1352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703948.05</v>
      </c>
      <c r="G16" s="4">
        <v>705561.44</v>
      </c>
      <c r="H16" s="4">
        <v>705561.44</v>
      </c>
      <c r="I16" s="4"/>
      <c r="J16" s="4"/>
      <c r="K16" s="10">
        <f>G16-F16</f>
        <v>1613.3899999998976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3015425.9099998083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2058320</v>
      </c>
      <c r="AI16" s="4">
        <v>2059933</v>
      </c>
      <c r="AJ16" s="4">
        <v>2059933</v>
      </c>
      <c r="AK16" s="4"/>
      <c r="AL16" s="4"/>
      <c r="AM16" s="10">
        <f>AI16-AH16</f>
        <v>1613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3014697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698040.14</v>
      </c>
      <c r="G17" s="6">
        <v>699512.42</v>
      </c>
      <c r="H17" s="6">
        <v>699512.42</v>
      </c>
      <c r="I17" s="6"/>
      <c r="J17" s="6"/>
      <c r="K17" s="10">
        <f>G17-F17</f>
        <v>1472.2800000000279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2751691.3200000525</v>
      </c>
      <c r="T17" s="2"/>
      <c r="U17" s="4" t="s">
        <v>72</v>
      </c>
      <c r="V17" s="4"/>
      <c r="W17" s="33">
        <v>27868.18</v>
      </c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1731482</v>
      </c>
      <c r="AI17" s="6">
        <v>1732954</v>
      </c>
      <c r="AJ17" s="6">
        <v>1732954</v>
      </c>
      <c r="AK17" s="6"/>
      <c r="AL17" s="6"/>
      <c r="AM17" s="10">
        <f>AI17-AH17</f>
        <v>1472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2751168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3085.6699999999255</v>
      </c>
      <c r="F18" s="4"/>
      <c r="G18" s="4"/>
      <c r="H18" s="4"/>
      <c r="I18" s="4"/>
      <c r="J18" s="4"/>
      <c r="K18" s="19">
        <f>SUM(K16:K17)</f>
        <v>3085.6699999999255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3085</v>
      </c>
      <c r="AH18" s="4"/>
      <c r="AI18" s="4"/>
      <c r="AJ18" s="4"/>
      <c r="AK18" s="4"/>
      <c r="AL18" s="4"/>
      <c r="AM18" s="19">
        <f>SUM(AM16:AM17)</f>
        <v>3085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402062.71</v>
      </c>
      <c r="G19" s="6">
        <v>404060.08</v>
      </c>
      <c r="H19" s="6">
        <v>404060.08</v>
      </c>
      <c r="I19" s="6"/>
      <c r="J19" s="6"/>
      <c r="K19" s="10">
        <f t="shared" ref="K19:K20" si="8">G19-F19</f>
        <v>1997.3699999999953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3733084.5299999914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1242074</v>
      </c>
      <c r="AI19" s="6">
        <v>1244072</v>
      </c>
      <c r="AJ19" s="6">
        <v>1244072</v>
      </c>
      <c r="AK19" s="6"/>
      <c r="AL19" s="6"/>
      <c r="AM19" s="10">
        <f t="shared" ref="AM19:AM20" si="10">AI19-AH19</f>
        <v>1998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3734262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487345.42</v>
      </c>
      <c r="G20" s="6">
        <v>490904.42</v>
      </c>
      <c r="H20" s="6">
        <v>490904.42</v>
      </c>
      <c r="I20" s="6"/>
      <c r="J20" s="6"/>
      <c r="K20" s="10">
        <f t="shared" si="8"/>
        <v>3559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6651771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1261874</v>
      </c>
      <c r="AI20" s="6">
        <v>1265433</v>
      </c>
      <c r="AJ20" s="6">
        <v>1265433</v>
      </c>
      <c r="AK20" s="6"/>
      <c r="AL20" s="6"/>
      <c r="AM20" s="10">
        <f t="shared" si="10"/>
        <v>3559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6651771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5556.3699999999953</v>
      </c>
      <c r="F21" s="4"/>
      <c r="G21" s="4"/>
      <c r="H21" s="4"/>
      <c r="I21" s="4"/>
      <c r="J21" s="4"/>
      <c r="K21" s="19">
        <f>SUM(K19:K20)</f>
        <v>5556.3699999999953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5557</v>
      </c>
      <c r="AH21" s="4"/>
      <c r="AI21" s="4"/>
      <c r="AJ21" s="4"/>
      <c r="AK21" s="4"/>
      <c r="AL21" s="4"/>
      <c r="AM21" s="19">
        <f>SUM(AM19:AM20)</f>
        <v>5557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24916.669999999111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24652257.479999378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24915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24163608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29000</v>
      </c>
      <c r="G25" s="38">
        <v>27850</v>
      </c>
      <c r="H25" s="39">
        <f t="shared" ref="H25:H30" si="12">F25+V8-G25</f>
        <v>1150</v>
      </c>
      <c r="I25" s="39">
        <f>E6-H25</f>
        <v>144.03999999980442</v>
      </c>
      <c r="J25" s="40">
        <f>E6*0.085</f>
        <v>109.99339999998338</v>
      </c>
      <c r="K25" s="40">
        <f t="shared" ref="K25:K30" si="13">I25-J25</f>
        <v>34.046599999821041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29000</v>
      </c>
      <c r="AI25" s="38">
        <v>27850</v>
      </c>
      <c r="AJ25" s="39">
        <f t="shared" ref="AJ25:AJ30" si="14">AH25+AX8-AI25</f>
        <v>1150</v>
      </c>
      <c r="AK25" s="39">
        <f>AG6-AJ25</f>
        <v>144</v>
      </c>
      <c r="AL25" s="40">
        <f>AG6*0.085</f>
        <v>109.99000000000001</v>
      </c>
      <c r="AM25" s="40">
        <f t="shared" ref="AM25:AM30" si="15">AK25-AL25</f>
        <v>34.009999999999991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18400</v>
      </c>
      <c r="G26" s="38">
        <v>16100</v>
      </c>
      <c r="H26" s="39">
        <f t="shared" si="12"/>
        <v>2300</v>
      </c>
      <c r="I26" s="39">
        <f>E9-H26</f>
        <v>297.45999999984633</v>
      </c>
      <c r="J26" s="40">
        <f>E9*0.085</f>
        <v>220.78409999998695</v>
      </c>
      <c r="K26" s="40">
        <f t="shared" si="13"/>
        <v>76.675899999859382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18400</v>
      </c>
      <c r="AI26" s="38">
        <v>16100</v>
      </c>
      <c r="AJ26" s="39">
        <f t="shared" si="14"/>
        <v>2300</v>
      </c>
      <c r="AK26" s="39">
        <f>AG9-AJ26</f>
        <v>297</v>
      </c>
      <c r="AL26" s="40">
        <f>AG9*0.085</f>
        <v>220.745</v>
      </c>
      <c r="AM26" s="40">
        <f t="shared" si="15"/>
        <v>76.254999999999995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14550</v>
      </c>
      <c r="G27" s="38">
        <v>13400</v>
      </c>
      <c r="H27" s="39">
        <f t="shared" si="12"/>
        <v>1150</v>
      </c>
      <c r="I27" s="39">
        <f>E12-H27</f>
        <v>200.07000000006519</v>
      </c>
      <c r="J27" s="40">
        <f>E12*0.085</f>
        <v>114.75595000000556</v>
      </c>
      <c r="K27" s="40">
        <f t="shared" si="13"/>
        <v>85.314050000059638</v>
      </c>
      <c r="L27" s="6"/>
      <c r="N27" s="22"/>
      <c r="O27" s="22"/>
      <c r="P27" s="22"/>
      <c r="U27" s="41" t="s">
        <v>30</v>
      </c>
      <c r="W27" s="42">
        <f>SUM(W17:W26)</f>
        <v>27868.18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14550</v>
      </c>
      <c r="AI27" s="38">
        <v>13400</v>
      </c>
      <c r="AJ27" s="39">
        <f t="shared" si="14"/>
        <v>1150</v>
      </c>
      <c r="AK27" s="39">
        <f>AG12-AJ27</f>
        <v>201</v>
      </c>
      <c r="AL27" s="40">
        <f>AG12*0.085</f>
        <v>114.83500000000001</v>
      </c>
      <c r="AM27" s="40">
        <f t="shared" si="15"/>
        <v>86.164999999999992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7200</v>
      </c>
      <c r="G28" s="38">
        <v>6000</v>
      </c>
      <c r="H28" s="39">
        <f t="shared" si="12"/>
        <v>1200</v>
      </c>
      <c r="I28" s="39">
        <f>E15-H28</f>
        <v>152.90999999991618</v>
      </c>
      <c r="J28" s="40">
        <f>E15*0.085</f>
        <v>114.99734999999288</v>
      </c>
      <c r="K28" s="40">
        <f t="shared" si="13"/>
        <v>37.912649999923303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7200</v>
      </c>
      <c r="AI28" s="38">
        <v>6000</v>
      </c>
      <c r="AJ28" s="39">
        <f t="shared" si="14"/>
        <v>1200</v>
      </c>
      <c r="AK28" s="39">
        <f>AG15-AJ28</f>
        <v>152</v>
      </c>
      <c r="AL28" s="40">
        <f>AG15*0.085</f>
        <v>114.92</v>
      </c>
      <c r="AM28" s="40">
        <f t="shared" si="15"/>
        <v>37.08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1850</v>
      </c>
      <c r="G29" s="38">
        <v>35800</v>
      </c>
      <c r="H29" s="39">
        <f>F29+V12-G29</f>
        <v>3100</v>
      </c>
      <c r="I29" s="39">
        <f>E18-H29</f>
        <v>-14.330000000074506</v>
      </c>
      <c r="J29" s="40">
        <f>E18*0.085</f>
        <v>262.28194999999369</v>
      </c>
      <c r="K29" s="40">
        <f t="shared" si="13"/>
        <v>-276.61195000006819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1850</v>
      </c>
      <c r="AI29" s="38">
        <v>35800</v>
      </c>
      <c r="AJ29" s="39">
        <f t="shared" si="14"/>
        <v>3100</v>
      </c>
      <c r="AK29" s="39">
        <f>AG18-AJ29</f>
        <v>-15</v>
      </c>
      <c r="AL29" s="40">
        <f>AG18*0.085</f>
        <v>262.22500000000002</v>
      </c>
      <c r="AM29" s="40">
        <f t="shared" si="15"/>
        <v>-277.22500000000002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50</v>
      </c>
      <c r="G30" s="38">
        <v>17800</v>
      </c>
      <c r="H30" s="39">
        <f t="shared" si="12"/>
        <v>5350</v>
      </c>
      <c r="I30" s="39">
        <f>E21-H30</f>
        <v>206.36999999999534</v>
      </c>
      <c r="J30" s="40">
        <f>E21*0.085</f>
        <v>472.29144999999966</v>
      </c>
      <c r="K30" s="40">
        <f t="shared" si="13"/>
        <v>-265.92145000000431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50</v>
      </c>
      <c r="AI30" s="38">
        <v>17800</v>
      </c>
      <c r="AJ30" s="39">
        <f t="shared" si="14"/>
        <v>5350</v>
      </c>
      <c r="AK30" s="39">
        <f>AG21-AJ30</f>
        <v>207</v>
      </c>
      <c r="AL30" s="40">
        <f>AG21*0.085</f>
        <v>472.34500000000003</v>
      </c>
      <c r="AM30" s="40">
        <f t="shared" si="15"/>
        <v>-265.34500000000003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135000</v>
      </c>
      <c r="B33" s="45">
        <v>0</v>
      </c>
      <c r="C33" s="16">
        <v>0</v>
      </c>
      <c r="D33" s="16">
        <v>0</v>
      </c>
      <c r="E33" s="16">
        <v>170200</v>
      </c>
      <c r="F33" s="16">
        <v>0</v>
      </c>
      <c r="G33" s="16">
        <v>0</v>
      </c>
      <c r="H33" s="49">
        <v>0</v>
      </c>
      <c r="I33" s="16">
        <v>0</v>
      </c>
      <c r="J33" s="16">
        <v>4446010</v>
      </c>
      <c r="K33" s="16">
        <v>0</v>
      </c>
      <c r="L33" s="16">
        <v>939800</v>
      </c>
      <c r="M33" s="16">
        <v>15202814</v>
      </c>
      <c r="N33" s="16">
        <v>1178244</v>
      </c>
      <c r="O33" s="16">
        <v>0</v>
      </c>
      <c r="P33" s="16">
        <v>228920</v>
      </c>
      <c r="Q33" s="16">
        <v>0</v>
      </c>
      <c r="R33" s="49">
        <v>474000</v>
      </c>
      <c r="S33" s="16">
        <v>0</v>
      </c>
      <c r="T33" s="16">
        <v>12449622.439999999</v>
      </c>
      <c r="U33" s="42">
        <f>SUM(S22-A33-B33-W27-C33-D33-E33-F33-G33-H33-I33-J33-K33-L33-M33-N33-O33-P33-Q33-R33-J35-K35-L35-M35-N35-O35-P35-Q35-S33+T33)</f>
        <v>12691189.739999378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355100</v>
      </c>
      <c r="N35" s="16">
        <v>0</v>
      </c>
      <c r="O35" s="16">
        <v>641734</v>
      </c>
      <c r="P35" s="16">
        <v>70000</v>
      </c>
      <c r="Q35" s="16">
        <v>541000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F15" workbookViewId="0">
      <selection activeCell="W37" sqref="W37"/>
    </sheetView>
  </sheetViews>
  <sheetFormatPr defaultRowHeight="15" x14ac:dyDescent="0.25"/>
  <cols>
    <col min="1" max="1" width="9.7109375" bestFit="1" customWidth="1"/>
    <col min="5" max="5" width="10" bestFit="1" customWidth="1"/>
    <col min="10" max="11" width="10.85546875" bestFit="1" customWidth="1"/>
    <col min="13" max="13" width="10.85546875" bestFit="1" customWidth="1"/>
    <col min="14" max="14" width="10" bestFit="1" customWidth="1"/>
    <col min="17" max="17" width="10" bestFit="1" customWidth="1"/>
    <col min="19" max="19" width="12" bestFit="1" customWidth="1"/>
    <col min="20" max="20" width="10.85546875" bestFit="1" customWidth="1"/>
    <col min="21" max="21" width="16.140625" customWidth="1"/>
  </cols>
  <sheetData>
    <row r="1" spans="1:51" x14ac:dyDescent="0.25">
      <c r="A1" s="1">
        <v>46275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1046387.19</v>
      </c>
      <c r="G4" s="4">
        <v>1047208.42</v>
      </c>
      <c r="H4" s="4">
        <v>1047208.42</v>
      </c>
      <c r="I4" s="4"/>
      <c r="J4" s="4"/>
      <c r="K4" s="10">
        <f>G4-F4</f>
        <v>821.23000000009779</v>
      </c>
      <c r="L4" s="6">
        <v>1289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1058565.4700001259</v>
      </c>
      <c r="T4" s="6"/>
      <c r="U4" s="7" t="s">
        <v>9</v>
      </c>
      <c r="V4" s="11">
        <f>E6+E9+E12+E15</f>
        <v>7185.1200000003446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1046415</v>
      </c>
      <c r="AI4" s="4">
        <v>1047236</v>
      </c>
      <c r="AJ4" s="4">
        <v>1047236</v>
      </c>
      <c r="AK4" s="4"/>
      <c r="AL4" s="4"/>
      <c r="AM4" s="10">
        <f>AI4-AH4</f>
        <v>821</v>
      </c>
      <c r="AN4" s="6">
        <v>1215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997515</v>
      </c>
      <c r="AV4" s="6"/>
      <c r="AW4" s="7" t="s">
        <v>9</v>
      </c>
      <c r="AX4" s="11">
        <f>AG6+AG9+AG12+AG15</f>
        <v>7184</v>
      </c>
      <c r="AY4" s="11"/>
    </row>
    <row r="5" spans="1:51" x14ac:dyDescent="0.25">
      <c r="C5" s="2"/>
      <c r="D5" s="4"/>
      <c r="E5" s="4" t="s">
        <v>11</v>
      </c>
      <c r="F5" s="4">
        <v>1334187.8999999999</v>
      </c>
      <c r="G5" s="4">
        <v>1335788.1299999999</v>
      </c>
      <c r="H5" s="4">
        <v>1335788.1299999999</v>
      </c>
      <c r="I5" s="4"/>
      <c r="J5" s="4"/>
      <c r="K5" s="10">
        <f>G5-F5</f>
        <v>1600.2299999999814</v>
      </c>
      <c r="L5" s="6">
        <v>1289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2062696.469999976</v>
      </c>
      <c r="T5" s="6"/>
      <c r="U5" s="7" t="s">
        <v>12</v>
      </c>
      <c r="V5" s="15">
        <f>E18+E21</f>
        <v>12633.330000000075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1334222</v>
      </c>
      <c r="AI5" s="4">
        <v>1335822</v>
      </c>
      <c r="AJ5" s="4">
        <v>1335822</v>
      </c>
      <c r="AK5" s="4"/>
      <c r="AL5" s="4"/>
      <c r="AM5" s="10">
        <f>AI5-AH5</f>
        <v>1600</v>
      </c>
      <c r="AN5" s="6">
        <v>1215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1944000</v>
      </c>
      <c r="AV5" s="6"/>
      <c r="AW5" s="7" t="s">
        <v>12</v>
      </c>
      <c r="AX5" s="15">
        <f>AG18+AG21</f>
        <v>12632</v>
      </c>
      <c r="AY5" s="15"/>
    </row>
    <row r="6" spans="1:51" x14ac:dyDescent="0.25">
      <c r="C6" s="2"/>
      <c r="D6" s="18" t="s">
        <v>14</v>
      </c>
      <c r="E6" s="3">
        <f>K6+M6+O6+Q6</f>
        <v>2421.4600000000792</v>
      </c>
      <c r="F6" s="4"/>
      <c r="G6" s="4"/>
      <c r="H6" s="4"/>
      <c r="I6" s="4"/>
      <c r="J6" s="4"/>
      <c r="K6" s="19">
        <f>SUM(K4:K5)</f>
        <v>2421.4600000000792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2421</v>
      </c>
      <c r="AH6" s="4"/>
      <c r="AI6" s="4"/>
      <c r="AJ6" s="4"/>
      <c r="AK6" s="4"/>
      <c r="AL6" s="4"/>
      <c r="AM6" s="19">
        <f>SUM(AM4:AM5)</f>
        <v>2421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712529.84</v>
      </c>
      <c r="G7" s="4">
        <v>713232.93</v>
      </c>
      <c r="H7" s="4">
        <v>713232.93</v>
      </c>
      <c r="I7" s="4"/>
      <c r="J7" s="4"/>
      <c r="K7" s="10">
        <f>G7-F7</f>
        <v>703.09000000008382</v>
      </c>
      <c r="L7" s="6">
        <v>1289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906283.01000010804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712572</v>
      </c>
      <c r="AI7" s="4">
        <v>713275</v>
      </c>
      <c r="AJ7" s="4">
        <v>713275</v>
      </c>
      <c r="AK7" s="4"/>
      <c r="AL7" s="4"/>
      <c r="AM7" s="10">
        <f>AI7-AH7</f>
        <v>703</v>
      </c>
      <c r="AN7" s="6">
        <v>1215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854145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1111678.1599999999</v>
      </c>
      <c r="G8" s="6">
        <v>1112897.71</v>
      </c>
      <c r="H8" s="6">
        <v>1112897.71</v>
      </c>
      <c r="I8" s="6"/>
      <c r="J8" s="6"/>
      <c r="K8" s="10">
        <f>G8-F8</f>
        <v>1219.5500000000466</v>
      </c>
      <c r="L8" s="6">
        <v>1289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1571999.95000006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1111720</v>
      </c>
      <c r="AI8" s="6">
        <v>1112940</v>
      </c>
      <c r="AJ8" s="6">
        <v>1112940</v>
      </c>
      <c r="AK8" s="6"/>
      <c r="AL8" s="6"/>
      <c r="AM8" s="10">
        <f>AI8-AH8</f>
        <v>1220</v>
      </c>
      <c r="AN8" s="6">
        <v>1215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1482300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1922.6400000001304</v>
      </c>
      <c r="F9" s="4"/>
      <c r="G9" s="4"/>
      <c r="H9" s="4"/>
      <c r="I9" s="4"/>
      <c r="J9" s="4"/>
      <c r="K9" s="19">
        <f>SUM(K7:K8)</f>
        <v>1922.6400000001304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>
        <v>3250</v>
      </c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1923</v>
      </c>
      <c r="AH9" s="4"/>
      <c r="AI9" s="4"/>
      <c r="AJ9" s="4"/>
      <c r="AK9" s="4"/>
      <c r="AL9" s="4"/>
      <c r="AM9" s="19">
        <f>SUM(AM7:AM8)</f>
        <v>1923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>
        <v>3250</v>
      </c>
      <c r="AY9" s="23"/>
    </row>
    <row r="10" spans="1:51" x14ac:dyDescent="0.25">
      <c r="C10" s="2"/>
      <c r="D10" s="18"/>
      <c r="E10" s="4" t="s">
        <v>22</v>
      </c>
      <c r="F10" s="6">
        <v>599656.5</v>
      </c>
      <c r="G10" s="6">
        <v>600117.77</v>
      </c>
      <c r="H10" s="6">
        <v>600117.77</v>
      </c>
      <c r="I10" s="6"/>
      <c r="J10" s="6"/>
      <c r="K10" s="10">
        <f>G10-F10</f>
        <v>461.27000000001863</v>
      </c>
      <c r="L10" s="6">
        <v>1289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594577.03000002401</v>
      </c>
      <c r="T10" s="6"/>
      <c r="U10" s="7" t="s">
        <v>16</v>
      </c>
      <c r="V10" s="23">
        <v>8250</v>
      </c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599662</v>
      </c>
      <c r="AI10" s="6">
        <v>600123</v>
      </c>
      <c r="AJ10" s="6">
        <v>600123</v>
      </c>
      <c r="AK10" s="6"/>
      <c r="AL10" s="6"/>
      <c r="AM10" s="10">
        <f>AI10-AH10</f>
        <v>461</v>
      </c>
      <c r="AN10" s="6">
        <v>1215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560115</v>
      </c>
      <c r="AV10" s="6"/>
      <c r="AW10" s="7" t="s">
        <v>16</v>
      </c>
      <c r="AX10" s="23">
        <v>8250</v>
      </c>
      <c r="AY10" s="23"/>
    </row>
    <row r="11" spans="1:51" x14ac:dyDescent="0.25">
      <c r="C11" s="2"/>
      <c r="D11" s="2"/>
      <c r="E11" s="4" t="s">
        <v>23</v>
      </c>
      <c r="F11" s="6">
        <v>944700.28</v>
      </c>
      <c r="G11" s="6">
        <v>945891.25</v>
      </c>
      <c r="H11" s="6">
        <v>945891.25</v>
      </c>
      <c r="I11" s="6"/>
      <c r="J11" s="6"/>
      <c r="K11" s="10">
        <f>G11-F11</f>
        <v>1190.9699999999721</v>
      </c>
      <c r="L11" s="6">
        <v>1289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1535160.329999964</v>
      </c>
      <c r="T11" s="6"/>
      <c r="U11" s="7" t="s">
        <v>19</v>
      </c>
      <c r="V11" s="23">
        <v>18250</v>
      </c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944742</v>
      </c>
      <c r="AI11" s="6">
        <v>945932</v>
      </c>
      <c r="AJ11" s="6">
        <v>945932</v>
      </c>
      <c r="AK11" s="6"/>
      <c r="AL11" s="6"/>
      <c r="AM11" s="10">
        <f>AI11-AH11</f>
        <v>1190</v>
      </c>
      <c r="AN11" s="6">
        <v>1215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1445850</v>
      </c>
      <c r="AV11" s="6"/>
      <c r="AW11" s="7" t="s">
        <v>19</v>
      </c>
      <c r="AX11" s="23">
        <v>18250</v>
      </c>
      <c r="AY11" s="23"/>
    </row>
    <row r="12" spans="1:51" x14ac:dyDescent="0.25">
      <c r="C12" s="2"/>
      <c r="D12" s="18" t="s">
        <v>24</v>
      </c>
      <c r="E12" s="3">
        <f>K12+M12+O12+Q12</f>
        <v>1652.2399999999907</v>
      </c>
      <c r="F12" s="4"/>
      <c r="G12" s="4"/>
      <c r="H12" s="4"/>
      <c r="I12" s="4"/>
      <c r="J12" s="4"/>
      <c r="K12" s="19">
        <f>SUM(K10:K11)</f>
        <v>1652.2399999999907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1651</v>
      </c>
      <c r="AH12" s="4"/>
      <c r="AI12" s="4"/>
      <c r="AJ12" s="4"/>
      <c r="AK12" s="4"/>
      <c r="AL12" s="4"/>
      <c r="AM12" s="19">
        <f>SUM(AM10:AM11)</f>
        <v>1651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530826.32999999996</v>
      </c>
      <c r="G13" s="6">
        <v>531115.80000000005</v>
      </c>
      <c r="H13" s="6">
        <v>531115.80000000005</v>
      </c>
      <c r="I13" s="6"/>
      <c r="J13" s="6"/>
      <c r="K13" s="10">
        <f>G13-F13</f>
        <v>289.47000000008848</v>
      </c>
      <c r="L13" s="6">
        <v>1289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373126.83000011405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530868</v>
      </c>
      <c r="AI13" s="6">
        <v>531157</v>
      </c>
      <c r="AJ13" s="6">
        <v>531157</v>
      </c>
      <c r="AK13" s="6"/>
      <c r="AL13" s="6"/>
      <c r="AM13" s="10">
        <f>AI13-AH13</f>
        <v>289</v>
      </c>
      <c r="AN13" s="6">
        <v>1215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351135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934124.44</v>
      </c>
      <c r="G14" s="4">
        <v>935023.75</v>
      </c>
      <c r="H14" s="4">
        <v>935023.75</v>
      </c>
      <c r="I14" s="4"/>
      <c r="J14" s="4"/>
      <c r="K14" s="10">
        <f>G14-F14</f>
        <v>899.31000000005588</v>
      </c>
      <c r="L14" s="6">
        <v>1289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1159210.590000072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934156</v>
      </c>
      <c r="AI14" s="4">
        <v>935056</v>
      </c>
      <c r="AJ14" s="4">
        <v>935056</v>
      </c>
      <c r="AK14" s="4"/>
      <c r="AL14" s="4"/>
      <c r="AM14" s="10">
        <f>AI14-AH14</f>
        <v>900</v>
      </c>
      <c r="AN14" s="6">
        <v>1215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1093500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1188.7800000001444</v>
      </c>
      <c r="F15" s="4"/>
      <c r="G15" s="4"/>
      <c r="H15" s="4"/>
      <c r="I15" s="4"/>
      <c r="J15" s="4"/>
      <c r="K15" s="19">
        <f>SUM(K13:K14)</f>
        <v>1188.7800000001444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1189</v>
      </c>
      <c r="AH15" s="4"/>
      <c r="AI15" s="4"/>
      <c r="AJ15" s="4"/>
      <c r="AK15" s="4"/>
      <c r="AL15" s="4"/>
      <c r="AM15" s="19">
        <f>SUM(AM13:AM14)</f>
        <v>1189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705561.44</v>
      </c>
      <c r="G16" s="4">
        <v>710739.56</v>
      </c>
      <c r="H16" s="4">
        <v>710739.56</v>
      </c>
      <c r="I16" s="4"/>
      <c r="J16" s="4"/>
      <c r="K16" s="10">
        <f>G16-F16</f>
        <v>5178.1200000001118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9677906.2800002098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2059933</v>
      </c>
      <c r="AI16" s="4">
        <v>2065111</v>
      </c>
      <c r="AJ16" s="4">
        <v>2065111</v>
      </c>
      <c r="AK16" s="4"/>
      <c r="AL16" s="4"/>
      <c r="AM16" s="10">
        <f>AI16-AH16</f>
        <v>5178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9677682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699512.42</v>
      </c>
      <c r="G17" s="6">
        <v>702451.63</v>
      </c>
      <c r="H17" s="6">
        <v>702451.63</v>
      </c>
      <c r="I17" s="6"/>
      <c r="J17" s="6"/>
      <c r="K17" s="10">
        <f>G17-F17</f>
        <v>2939.2099999999627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5493383.4899999304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1732954</v>
      </c>
      <c r="AI17" s="6">
        <v>1735893</v>
      </c>
      <c r="AJ17" s="6">
        <v>1735893</v>
      </c>
      <c r="AK17" s="6"/>
      <c r="AL17" s="6"/>
      <c r="AM17" s="10">
        <f>AI17-AH17</f>
        <v>2939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5492991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8117.3300000000745</v>
      </c>
      <c r="F18" s="4"/>
      <c r="G18" s="4"/>
      <c r="H18" s="4"/>
      <c r="I18" s="4"/>
      <c r="J18" s="4"/>
      <c r="K18" s="19">
        <f>SUM(K16:K17)</f>
        <v>8117.3300000000745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8117</v>
      </c>
      <c r="AH18" s="4"/>
      <c r="AI18" s="4"/>
      <c r="AJ18" s="4"/>
      <c r="AK18" s="4"/>
      <c r="AL18" s="4"/>
      <c r="AM18" s="19">
        <f>SUM(AM16:AM17)</f>
        <v>8117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404060.08</v>
      </c>
      <c r="G19" s="6">
        <v>406289.76</v>
      </c>
      <c r="H19" s="6">
        <v>406289.76</v>
      </c>
      <c r="I19" s="6"/>
      <c r="J19" s="6"/>
      <c r="K19" s="10">
        <f t="shared" ref="K19:K20" si="8">G19-F19</f>
        <v>2229.679999999993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4167271.9199999869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1244072</v>
      </c>
      <c r="AI19" s="6">
        <v>1246301</v>
      </c>
      <c r="AJ19" s="6">
        <v>1246301</v>
      </c>
      <c r="AK19" s="6"/>
      <c r="AL19" s="6"/>
      <c r="AM19" s="10">
        <f t="shared" ref="AM19:AM20" si="10">AI19-AH19</f>
        <v>2229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4166001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490904.42</v>
      </c>
      <c r="G20" s="6">
        <v>493190.74</v>
      </c>
      <c r="H20" s="6">
        <v>493190.74</v>
      </c>
      <c r="I20" s="6"/>
      <c r="J20" s="6"/>
      <c r="K20" s="10">
        <f t="shared" si="8"/>
        <v>2286.320000000007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4273132.0800000131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1265433</v>
      </c>
      <c r="AI20" s="6">
        <v>1267719</v>
      </c>
      <c r="AJ20" s="6">
        <v>1267719</v>
      </c>
      <c r="AK20" s="6"/>
      <c r="AL20" s="6"/>
      <c r="AM20" s="10">
        <f t="shared" si="10"/>
        <v>2286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4272534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4516</v>
      </c>
      <c r="F21" s="4"/>
      <c r="G21" s="4"/>
      <c r="H21" s="4"/>
      <c r="I21" s="4"/>
      <c r="J21" s="4"/>
      <c r="K21" s="19">
        <f>SUM(K19:K20)</f>
        <v>4516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4515</v>
      </c>
      <c r="AH21" s="4"/>
      <c r="AI21" s="4"/>
      <c r="AJ21" s="4"/>
      <c r="AK21" s="4"/>
      <c r="AL21" s="4"/>
      <c r="AM21" s="19">
        <f>SUM(AM19:AM20)</f>
        <v>4515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35120.900000000838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32873313.450000584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35117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32337768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27850</v>
      </c>
      <c r="G25" s="38">
        <v>25500</v>
      </c>
      <c r="H25" s="39">
        <f t="shared" ref="H25:H30" si="12">F25+V8-G25</f>
        <v>2350</v>
      </c>
      <c r="I25" s="39">
        <f>E6-H25</f>
        <v>71.460000000079162</v>
      </c>
      <c r="J25" s="40">
        <f>E6*0.085</f>
        <v>205.82410000000675</v>
      </c>
      <c r="K25" s="40">
        <f t="shared" ref="K25:K30" si="13">I25-J25</f>
        <v>-134.36409999992759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27850</v>
      </c>
      <c r="AI25" s="38">
        <v>25500</v>
      </c>
      <c r="AJ25" s="39">
        <f t="shared" ref="AJ25:AJ30" si="14">AH25+AX8-AI25</f>
        <v>2350</v>
      </c>
      <c r="AK25" s="39">
        <f>AG6-AJ25</f>
        <v>71</v>
      </c>
      <c r="AL25" s="40">
        <f>AG6*0.085</f>
        <v>205.78500000000003</v>
      </c>
      <c r="AM25" s="40">
        <f t="shared" ref="AM25:AM30" si="15">AK25-AL25</f>
        <v>-134.78500000000003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16100</v>
      </c>
      <c r="G26" s="38">
        <v>17250</v>
      </c>
      <c r="H26" s="39">
        <f t="shared" si="12"/>
        <v>2100</v>
      </c>
      <c r="I26" s="39">
        <f>E9-H26</f>
        <v>-177.35999999986961</v>
      </c>
      <c r="J26" s="40">
        <f>E9*0.085</f>
        <v>163.4244000000111</v>
      </c>
      <c r="K26" s="40">
        <f t="shared" si="13"/>
        <v>-340.78439999988075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16100</v>
      </c>
      <c r="AI26" s="38">
        <v>17250</v>
      </c>
      <c r="AJ26" s="39">
        <f t="shared" si="14"/>
        <v>2100</v>
      </c>
      <c r="AK26" s="39">
        <f>AG9-AJ26</f>
        <v>-177</v>
      </c>
      <c r="AL26" s="40">
        <f>AG9*0.085</f>
        <v>163.45500000000001</v>
      </c>
      <c r="AM26" s="40">
        <f t="shared" si="15"/>
        <v>-340.45500000000004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13400</v>
      </c>
      <c r="G27" s="38">
        <v>20200</v>
      </c>
      <c r="H27" s="39">
        <f t="shared" si="12"/>
        <v>1450</v>
      </c>
      <c r="I27" s="39">
        <f>E12-H27</f>
        <v>202.23999999999069</v>
      </c>
      <c r="J27" s="40">
        <f>E12*0.085</f>
        <v>140.44039999999922</v>
      </c>
      <c r="K27" s="40">
        <f t="shared" si="13"/>
        <v>61.799599999991472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13400</v>
      </c>
      <c r="AI27" s="38">
        <v>20200</v>
      </c>
      <c r="AJ27" s="39">
        <f t="shared" si="14"/>
        <v>1450</v>
      </c>
      <c r="AK27" s="39">
        <f>AG12-AJ27</f>
        <v>201</v>
      </c>
      <c r="AL27" s="40">
        <f>AG12*0.085</f>
        <v>140.33500000000001</v>
      </c>
      <c r="AM27" s="40">
        <f t="shared" si="15"/>
        <v>60.664999999999992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6000</v>
      </c>
      <c r="G28" s="38">
        <v>23150</v>
      </c>
      <c r="H28" s="39">
        <f t="shared" si="12"/>
        <v>1100</v>
      </c>
      <c r="I28" s="39">
        <f>E15-H28</f>
        <v>88.780000000144355</v>
      </c>
      <c r="J28" s="40">
        <f>E15*0.085</f>
        <v>101.04630000001228</v>
      </c>
      <c r="K28" s="40">
        <f t="shared" si="13"/>
        <v>-12.266299999867925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6000</v>
      </c>
      <c r="AI28" s="38">
        <v>23150</v>
      </c>
      <c r="AJ28" s="39">
        <f t="shared" si="14"/>
        <v>1100</v>
      </c>
      <c r="AK28" s="39">
        <f>AG15-AJ28</f>
        <v>89</v>
      </c>
      <c r="AL28" s="40">
        <f>AG15*0.085</f>
        <v>101.06500000000001</v>
      </c>
      <c r="AM28" s="40">
        <f t="shared" si="15"/>
        <v>-12.065000000000012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35800</v>
      </c>
      <c r="G29" s="38">
        <v>28250</v>
      </c>
      <c r="H29" s="39">
        <f>F29+V12-G29</f>
        <v>7550</v>
      </c>
      <c r="I29" s="39">
        <f>E18-H29</f>
        <v>567.33000000007451</v>
      </c>
      <c r="J29" s="40">
        <f>E18*0.085</f>
        <v>689.97305000000642</v>
      </c>
      <c r="K29" s="40">
        <f t="shared" si="13"/>
        <v>-122.64304999993192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35800</v>
      </c>
      <c r="AI29" s="38">
        <v>28250</v>
      </c>
      <c r="AJ29" s="39">
        <f t="shared" si="14"/>
        <v>7550</v>
      </c>
      <c r="AK29" s="39">
        <f>AG18-AJ29</f>
        <v>567</v>
      </c>
      <c r="AL29" s="40">
        <f>AG18*0.085</f>
        <v>689.94500000000005</v>
      </c>
      <c r="AM29" s="40">
        <f t="shared" si="15"/>
        <v>-122.94500000000005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17800</v>
      </c>
      <c r="G30" s="38">
        <v>13500</v>
      </c>
      <c r="H30" s="39">
        <f t="shared" si="12"/>
        <v>4300</v>
      </c>
      <c r="I30" s="39">
        <f>E21-H30</f>
        <v>216</v>
      </c>
      <c r="J30" s="40">
        <f>E21*0.085</f>
        <v>383.86</v>
      </c>
      <c r="K30" s="40">
        <f t="shared" si="13"/>
        <v>-167.86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17800</v>
      </c>
      <c r="AI30" s="38">
        <v>13500</v>
      </c>
      <c r="AJ30" s="39">
        <f t="shared" si="14"/>
        <v>4300</v>
      </c>
      <c r="AK30" s="39">
        <f>AG21-AJ30</f>
        <v>215</v>
      </c>
      <c r="AL30" s="40">
        <f>AG21*0.085</f>
        <v>383.77500000000003</v>
      </c>
      <c r="AM30" s="40">
        <f t="shared" si="15"/>
        <v>-168.77500000000003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736115</v>
      </c>
      <c r="B33" s="45">
        <v>0</v>
      </c>
      <c r="C33" s="16">
        <v>0</v>
      </c>
      <c r="D33" s="16">
        <v>0</v>
      </c>
      <c r="E33" s="16">
        <v>2100890</v>
      </c>
      <c r="F33" s="16">
        <v>0</v>
      </c>
      <c r="G33" s="16">
        <v>675957</v>
      </c>
      <c r="H33" s="49">
        <v>0</v>
      </c>
      <c r="I33" s="16">
        <v>273800</v>
      </c>
      <c r="J33" s="16">
        <v>17178789.359999999</v>
      </c>
      <c r="K33" s="16">
        <v>714541.88</v>
      </c>
      <c r="L33" s="16">
        <v>0</v>
      </c>
      <c r="M33" s="16">
        <v>0</v>
      </c>
      <c r="N33" s="16">
        <v>0</v>
      </c>
      <c r="O33" s="16">
        <v>290000</v>
      </c>
      <c r="P33" s="16">
        <v>0</v>
      </c>
      <c r="Q33" s="16">
        <v>3970195</v>
      </c>
      <c r="R33" s="49">
        <v>0</v>
      </c>
      <c r="S33" s="16">
        <v>228800</v>
      </c>
      <c r="T33" s="16">
        <v>12691189.74</v>
      </c>
      <c r="U33" s="42">
        <f>SUM(S22-A33-B33-W27-C33-D33-E33-F33-G33-H33-I33-J33-K33-L33-M33-N33-O33-P33-Q33-R33-J35-K35-L35-M35-N35-O35-P35-Q35-S33+T33)</f>
        <v>18364329.190000582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241470.15</v>
      </c>
      <c r="K35" s="16"/>
      <c r="L35" s="16">
        <v>0</v>
      </c>
      <c r="M35" s="16">
        <v>0</v>
      </c>
      <c r="N35" s="16">
        <v>789615.61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E14" workbookViewId="0">
      <selection activeCell="M36" sqref="M36"/>
    </sheetView>
  </sheetViews>
  <sheetFormatPr defaultRowHeight="15" x14ac:dyDescent="0.25"/>
  <cols>
    <col min="1" max="1" width="9.7109375" bestFit="1" customWidth="1"/>
    <col min="5" max="5" width="10" bestFit="1" customWidth="1"/>
    <col min="10" max="11" width="10.85546875" bestFit="1" customWidth="1"/>
    <col min="13" max="13" width="10.85546875" bestFit="1" customWidth="1"/>
    <col min="14" max="14" width="10" bestFit="1" customWidth="1"/>
    <col min="16" max="17" width="10" bestFit="1" customWidth="1"/>
    <col min="19" max="19" width="12" bestFit="1" customWidth="1"/>
    <col min="20" max="20" width="10.85546875" bestFit="1" customWidth="1"/>
    <col min="21" max="21" width="16.140625" customWidth="1"/>
  </cols>
  <sheetData>
    <row r="1" spans="1:51" x14ac:dyDescent="0.25">
      <c r="A1" s="1">
        <v>46276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1047208.42</v>
      </c>
      <c r="G4" s="4">
        <v>1047708.33</v>
      </c>
      <c r="H4" s="4">
        <v>1047708.33</v>
      </c>
      <c r="I4" s="4"/>
      <c r="J4" s="4"/>
      <c r="K4" s="10">
        <f>G4-F4</f>
        <v>499.90999999991618</v>
      </c>
      <c r="L4" s="6">
        <v>1289</v>
      </c>
      <c r="M4" s="10">
        <f>H4-G4</f>
        <v>0</v>
      </c>
      <c r="N4" s="6">
        <v>1374</v>
      </c>
      <c r="O4" s="10">
        <f>I4</f>
        <v>0</v>
      </c>
      <c r="P4" s="6"/>
      <c r="Q4" s="10">
        <f>J4-I4</f>
        <v>0</v>
      </c>
      <c r="R4" s="6"/>
      <c r="S4" s="10">
        <f>(K4*L4)+(M4*N4)+(O4*P4)+(Q4*R4)</f>
        <v>644383.98999989196</v>
      </c>
      <c r="T4" s="6"/>
      <c r="U4" s="7" t="s">
        <v>9</v>
      </c>
      <c r="V4" s="11">
        <f>E6+E9+E12+E15</f>
        <v>7424.5900000000838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1047236</v>
      </c>
      <c r="AI4" s="4">
        <v>1047736</v>
      </c>
      <c r="AJ4" s="4">
        <v>1047736</v>
      </c>
      <c r="AK4" s="4"/>
      <c r="AL4" s="4"/>
      <c r="AM4" s="10">
        <f>AI4-AH4</f>
        <v>500</v>
      </c>
      <c r="AN4" s="6">
        <v>1215</v>
      </c>
      <c r="AO4" s="10">
        <f>AJ4-AI4</f>
        <v>0</v>
      </c>
      <c r="AP4" s="6">
        <v>1374</v>
      </c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607500</v>
      </c>
      <c r="AV4" s="6"/>
      <c r="AW4" s="7" t="s">
        <v>9</v>
      </c>
      <c r="AX4" s="11">
        <f>AG6+AG9+AG12+AG15</f>
        <v>7426</v>
      </c>
      <c r="AY4" s="11"/>
    </row>
    <row r="5" spans="1:51" x14ac:dyDescent="0.25">
      <c r="C5" s="2"/>
      <c r="D5" s="4"/>
      <c r="E5" s="4" t="s">
        <v>11</v>
      </c>
      <c r="F5" s="4">
        <v>1335788.1299999999</v>
      </c>
      <c r="G5" s="4">
        <v>1336270.73</v>
      </c>
      <c r="H5" s="4">
        <v>1336362.79</v>
      </c>
      <c r="I5" s="4"/>
      <c r="J5" s="4"/>
      <c r="K5" s="10">
        <f>G5-F5</f>
        <v>482.60000000009313</v>
      </c>
      <c r="L5" s="6">
        <v>1289</v>
      </c>
      <c r="M5" s="10">
        <f>H5-G5</f>
        <v>92.060000000055879</v>
      </c>
      <c r="N5" s="6">
        <v>1374</v>
      </c>
      <c r="O5" s="10">
        <f>I5</f>
        <v>0</v>
      </c>
      <c r="P5" s="6"/>
      <c r="Q5" s="10">
        <f>J5-I5</f>
        <v>0</v>
      </c>
      <c r="R5" s="6"/>
      <c r="S5" s="10">
        <f>(K5*L5)+(M5*N5)+(O5*P5)+(Q5*R5)</f>
        <v>748561.84000019683</v>
      </c>
      <c r="T5" s="6"/>
      <c r="U5" s="7" t="s">
        <v>12</v>
      </c>
      <c r="V5" s="15">
        <f>E18+E21</f>
        <v>14792.529999999853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1335822</v>
      </c>
      <c r="AI5" s="4">
        <v>1336305</v>
      </c>
      <c r="AJ5" s="4">
        <v>1336397</v>
      </c>
      <c r="AK5" s="4"/>
      <c r="AL5" s="4"/>
      <c r="AM5" s="10">
        <f>AI5-AH5</f>
        <v>483</v>
      </c>
      <c r="AN5" s="6">
        <v>1215</v>
      </c>
      <c r="AO5" s="10">
        <f>AJ5-AI5</f>
        <v>92</v>
      </c>
      <c r="AP5" s="6">
        <v>1374</v>
      </c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713253</v>
      </c>
      <c r="AV5" s="6"/>
      <c r="AW5" s="7" t="s">
        <v>12</v>
      </c>
      <c r="AX5" s="15">
        <f>AG18+AG21</f>
        <v>14794</v>
      </c>
      <c r="AY5" s="15"/>
    </row>
    <row r="6" spans="1:51" x14ac:dyDescent="0.25">
      <c r="C6" s="2"/>
      <c r="D6" s="18" t="s">
        <v>14</v>
      </c>
      <c r="E6" s="3">
        <f>K6+M6+O6+Q6</f>
        <v>1074.5700000000652</v>
      </c>
      <c r="F6" s="4"/>
      <c r="G6" s="4"/>
      <c r="H6" s="4"/>
      <c r="I6" s="4"/>
      <c r="J6" s="4"/>
      <c r="K6" s="19">
        <f>SUM(K4:K5)</f>
        <v>982.51000000000931</v>
      </c>
      <c r="L6" s="6"/>
      <c r="M6" s="19">
        <f>SUM(M4:M5)</f>
        <v>92.060000000055879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1075</v>
      </c>
      <c r="AH6" s="4"/>
      <c r="AI6" s="4"/>
      <c r="AJ6" s="4"/>
      <c r="AK6" s="4"/>
      <c r="AL6" s="4"/>
      <c r="AM6" s="19">
        <f>SUM(AM4:AM5)</f>
        <v>983</v>
      </c>
      <c r="AN6" s="6"/>
      <c r="AO6" s="19">
        <f>SUM(AO4:AO5)</f>
        <v>92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713232.93</v>
      </c>
      <c r="G7" s="4">
        <v>714579.51</v>
      </c>
      <c r="H7" s="4">
        <v>714594.39</v>
      </c>
      <c r="I7" s="4"/>
      <c r="J7" s="4"/>
      <c r="K7" s="10">
        <f>G7-F7</f>
        <v>1346.5799999999581</v>
      </c>
      <c r="L7" s="6">
        <v>1289</v>
      </c>
      <c r="M7" s="10">
        <f>H7-G7</f>
        <v>14.880000000004657</v>
      </c>
      <c r="N7" s="6">
        <v>1374</v>
      </c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1756186.7399999525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713275</v>
      </c>
      <c r="AI7" s="4">
        <v>714621</v>
      </c>
      <c r="AJ7" s="4">
        <v>714636</v>
      </c>
      <c r="AK7" s="4"/>
      <c r="AL7" s="4"/>
      <c r="AM7" s="10">
        <f>AI7-AH7</f>
        <v>1346</v>
      </c>
      <c r="AN7" s="6">
        <v>1215</v>
      </c>
      <c r="AO7" s="10">
        <f>AJ7-AI7</f>
        <v>15</v>
      </c>
      <c r="AP7" s="6">
        <v>1374</v>
      </c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1656000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1112897.71</v>
      </c>
      <c r="G8" s="6">
        <v>1114265.81</v>
      </c>
      <c r="H8" s="6">
        <v>1114265.81</v>
      </c>
      <c r="I8" s="6"/>
      <c r="J8" s="6"/>
      <c r="K8" s="10">
        <f>G8-F8</f>
        <v>1368.1000000000931</v>
      </c>
      <c r="L8" s="6">
        <v>1289</v>
      </c>
      <c r="M8" s="10">
        <f>H8-G8</f>
        <v>0</v>
      </c>
      <c r="N8" s="6">
        <v>1374</v>
      </c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1763480.90000012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1112940</v>
      </c>
      <c r="AI8" s="6">
        <v>1114308</v>
      </c>
      <c r="AJ8" s="6">
        <v>1114308</v>
      </c>
      <c r="AK8" s="6"/>
      <c r="AL8" s="6"/>
      <c r="AM8" s="10">
        <f>AI8-AH8</f>
        <v>1368</v>
      </c>
      <c r="AN8" s="6">
        <v>1215</v>
      </c>
      <c r="AO8" s="10">
        <f>AJ8-AI8</f>
        <v>0</v>
      </c>
      <c r="AP8" s="6">
        <v>1374</v>
      </c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1662120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2729.5600000000559</v>
      </c>
      <c r="F9" s="4"/>
      <c r="G9" s="4"/>
      <c r="H9" s="4"/>
      <c r="I9" s="4"/>
      <c r="J9" s="4"/>
      <c r="K9" s="19">
        <f>SUM(K7:K8)</f>
        <v>2714.6800000000512</v>
      </c>
      <c r="L9" s="6"/>
      <c r="M9" s="19">
        <f>SUM(M7:M8)</f>
        <v>14.880000000004657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2729</v>
      </c>
      <c r="AH9" s="4"/>
      <c r="AI9" s="4"/>
      <c r="AJ9" s="4"/>
      <c r="AK9" s="4"/>
      <c r="AL9" s="4"/>
      <c r="AM9" s="19">
        <f>SUM(AM7:AM8)</f>
        <v>2714</v>
      </c>
      <c r="AN9" s="6"/>
      <c r="AO9" s="19">
        <f>SUM(AO7:AO8)</f>
        <v>15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600117.77</v>
      </c>
      <c r="G10" s="6">
        <v>601290.77</v>
      </c>
      <c r="H10" s="6">
        <v>601290.77</v>
      </c>
      <c r="I10" s="6"/>
      <c r="J10" s="6"/>
      <c r="K10" s="10">
        <f>G10-F10</f>
        <v>1173</v>
      </c>
      <c r="L10" s="6">
        <v>1289</v>
      </c>
      <c r="M10" s="10">
        <f>H10-G10</f>
        <v>0</v>
      </c>
      <c r="N10" s="6">
        <v>1374</v>
      </c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1511997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600123</v>
      </c>
      <c r="AI10" s="6">
        <v>601296</v>
      </c>
      <c r="AJ10" s="6">
        <v>601296</v>
      </c>
      <c r="AK10" s="6"/>
      <c r="AL10" s="6"/>
      <c r="AM10" s="10">
        <f>AI10-AH10</f>
        <v>1173</v>
      </c>
      <c r="AN10" s="6">
        <v>1215</v>
      </c>
      <c r="AO10" s="10">
        <f>AJ10-AI10</f>
        <v>0</v>
      </c>
      <c r="AP10" s="6">
        <v>1374</v>
      </c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1425195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945891.25</v>
      </c>
      <c r="G11" s="6">
        <v>946294.84</v>
      </c>
      <c r="H11" s="6">
        <v>946305.75</v>
      </c>
      <c r="I11" s="6"/>
      <c r="J11" s="6"/>
      <c r="K11" s="10">
        <f>G11-F11</f>
        <v>403.5899999999674</v>
      </c>
      <c r="L11" s="6">
        <v>1289</v>
      </c>
      <c r="M11" s="10">
        <f>H11-G11</f>
        <v>10.910000000032596</v>
      </c>
      <c r="N11" s="6">
        <v>1374</v>
      </c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535217.85000000277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945932</v>
      </c>
      <c r="AI11" s="6">
        <v>946336</v>
      </c>
      <c r="AJ11" s="6">
        <v>946347</v>
      </c>
      <c r="AK11" s="6"/>
      <c r="AL11" s="6"/>
      <c r="AM11" s="10">
        <f>AI11-AH11</f>
        <v>404</v>
      </c>
      <c r="AN11" s="6">
        <v>1215</v>
      </c>
      <c r="AO11" s="10">
        <f>AJ11-AI11</f>
        <v>11</v>
      </c>
      <c r="AP11" s="6">
        <v>1374</v>
      </c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505974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1587.5</v>
      </c>
      <c r="F12" s="4"/>
      <c r="G12" s="4"/>
      <c r="H12" s="4"/>
      <c r="I12" s="4"/>
      <c r="J12" s="4"/>
      <c r="K12" s="19">
        <f>SUM(K10:K11)</f>
        <v>1576.5899999999674</v>
      </c>
      <c r="L12" s="6"/>
      <c r="M12" s="19">
        <f>SUM(M10:M11)</f>
        <v>10.910000000032596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1588</v>
      </c>
      <c r="AH12" s="4"/>
      <c r="AI12" s="4"/>
      <c r="AJ12" s="4"/>
      <c r="AK12" s="4"/>
      <c r="AL12" s="4"/>
      <c r="AM12" s="19">
        <f>SUM(AM10:AM11)</f>
        <v>1577</v>
      </c>
      <c r="AN12" s="6"/>
      <c r="AO12" s="19">
        <f>SUM(AO10:AO11)</f>
        <v>11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531115.80000000005</v>
      </c>
      <c r="G13" s="6">
        <v>531726.96</v>
      </c>
      <c r="H13" s="6">
        <v>531726.96</v>
      </c>
      <c r="I13" s="6"/>
      <c r="J13" s="6"/>
      <c r="K13" s="10">
        <f>G13-F13</f>
        <v>611.15999999991618</v>
      </c>
      <c r="L13" s="6">
        <v>1289</v>
      </c>
      <c r="M13" s="10">
        <f>H13-G13</f>
        <v>0</v>
      </c>
      <c r="N13" s="6">
        <v>1374</v>
      </c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787785.23999989196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531157</v>
      </c>
      <c r="AI13" s="6">
        <v>531769</v>
      </c>
      <c r="AJ13" s="6">
        <v>531769</v>
      </c>
      <c r="AK13" s="6"/>
      <c r="AL13" s="6"/>
      <c r="AM13" s="10">
        <f>AI13-AH13</f>
        <v>612</v>
      </c>
      <c r="AN13" s="6">
        <v>1215</v>
      </c>
      <c r="AO13" s="10">
        <f>AJ13-AI13</f>
        <v>0</v>
      </c>
      <c r="AP13" s="6">
        <v>1374</v>
      </c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743580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935023.75</v>
      </c>
      <c r="G14" s="4">
        <v>936445.55</v>
      </c>
      <c r="H14" s="4">
        <v>936445.55</v>
      </c>
      <c r="I14" s="4"/>
      <c r="J14" s="4"/>
      <c r="K14" s="10">
        <f>G14-F14</f>
        <v>1421.8000000000466</v>
      </c>
      <c r="L14" s="6">
        <v>1289</v>
      </c>
      <c r="M14" s="10">
        <f>H14-G14</f>
        <v>0</v>
      </c>
      <c r="N14" s="6">
        <v>1374</v>
      </c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1832700.20000006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935056</v>
      </c>
      <c r="AI14" s="4">
        <v>936478</v>
      </c>
      <c r="AJ14" s="4">
        <v>936478</v>
      </c>
      <c r="AK14" s="4"/>
      <c r="AL14" s="4"/>
      <c r="AM14" s="10">
        <f>AI14-AH14</f>
        <v>1422</v>
      </c>
      <c r="AN14" s="6">
        <v>1215</v>
      </c>
      <c r="AO14" s="10">
        <f>AJ14-AI14</f>
        <v>0</v>
      </c>
      <c r="AP14" s="6">
        <v>1374</v>
      </c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1727730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2032.9599999999627</v>
      </c>
      <c r="F15" s="4"/>
      <c r="G15" s="4"/>
      <c r="H15" s="4"/>
      <c r="I15" s="4"/>
      <c r="J15" s="4"/>
      <c r="K15" s="19">
        <f>SUM(K13:K14)</f>
        <v>2032.9599999999627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2034</v>
      </c>
      <c r="AH15" s="4"/>
      <c r="AI15" s="4"/>
      <c r="AJ15" s="4"/>
      <c r="AK15" s="4"/>
      <c r="AL15" s="4"/>
      <c r="AM15" s="19">
        <f>SUM(AM13:AM14)</f>
        <v>2034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710739.56</v>
      </c>
      <c r="G16" s="4">
        <v>714087.6</v>
      </c>
      <c r="H16" s="4">
        <v>714087.6</v>
      </c>
      <c r="I16" s="4"/>
      <c r="J16" s="4"/>
      <c r="K16" s="10">
        <f>G16-F16</f>
        <v>3348.0399999999208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6257486.7599998517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2065111</v>
      </c>
      <c r="AI16" s="4">
        <v>2068459</v>
      </c>
      <c r="AJ16" s="4">
        <v>2068459</v>
      </c>
      <c r="AK16" s="4"/>
      <c r="AL16" s="4"/>
      <c r="AM16" s="10">
        <f>AI16-AH16</f>
        <v>3348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6257412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702451.63</v>
      </c>
      <c r="G17" s="6">
        <v>707662.33</v>
      </c>
      <c r="H17" s="6">
        <v>707662.33</v>
      </c>
      <c r="I17" s="6"/>
      <c r="J17" s="6"/>
      <c r="K17" s="10">
        <f>G17-F17</f>
        <v>5210.6999999999534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9738798.2999999132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1735893</v>
      </c>
      <c r="AI17" s="6">
        <v>1741104</v>
      </c>
      <c r="AJ17" s="6">
        <v>1741104</v>
      </c>
      <c r="AK17" s="6"/>
      <c r="AL17" s="6"/>
      <c r="AM17" s="10">
        <f>AI17-AH17</f>
        <v>5211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9739359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8558.7399999998743</v>
      </c>
      <c r="F18" s="4"/>
      <c r="G18" s="4"/>
      <c r="H18" s="4"/>
      <c r="I18" s="4"/>
      <c r="J18" s="4"/>
      <c r="K18" s="19">
        <f>SUM(K16:K17)</f>
        <v>8558.7399999998743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8559</v>
      </c>
      <c r="AH18" s="4"/>
      <c r="AI18" s="4"/>
      <c r="AJ18" s="4"/>
      <c r="AK18" s="4"/>
      <c r="AL18" s="4"/>
      <c r="AM18" s="19">
        <f>SUM(AM16:AM17)</f>
        <v>8559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406289.76</v>
      </c>
      <c r="G19" s="6">
        <v>409635.04</v>
      </c>
      <c r="H19" s="6">
        <v>409635.04</v>
      </c>
      <c r="I19" s="6"/>
      <c r="J19" s="6"/>
      <c r="K19" s="10">
        <f t="shared" ref="K19:K20" si="8">G19-F19</f>
        <v>3345.2799999999697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6252328.3199999435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1246301</v>
      </c>
      <c r="AI19" s="6">
        <v>1249647</v>
      </c>
      <c r="AJ19" s="6">
        <v>1249647</v>
      </c>
      <c r="AK19" s="6"/>
      <c r="AL19" s="6"/>
      <c r="AM19" s="10">
        <f t="shared" ref="AM19:AM20" si="10">AI19-AH19</f>
        <v>3346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6253674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493190.74</v>
      </c>
      <c r="G20" s="6">
        <v>496079.25</v>
      </c>
      <c r="H20" s="6">
        <v>496079.25</v>
      </c>
      <c r="I20" s="6"/>
      <c r="J20" s="6"/>
      <c r="K20" s="10">
        <f t="shared" si="8"/>
        <v>2888.5100000000093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5398625.1900000172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1267719</v>
      </c>
      <c r="AI20" s="6">
        <v>1270608</v>
      </c>
      <c r="AJ20" s="6">
        <v>1270608</v>
      </c>
      <c r="AK20" s="6"/>
      <c r="AL20" s="6"/>
      <c r="AM20" s="10">
        <f t="shared" si="10"/>
        <v>2889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5399541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6233.789999999979</v>
      </c>
      <c r="F21" s="4"/>
      <c r="G21" s="4"/>
      <c r="H21" s="4"/>
      <c r="I21" s="4"/>
      <c r="J21" s="4"/>
      <c r="K21" s="19">
        <f>SUM(K19:K20)</f>
        <v>6233.789999999979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6235</v>
      </c>
      <c r="AH21" s="4"/>
      <c r="AI21" s="4"/>
      <c r="AJ21" s="4"/>
      <c r="AK21" s="4"/>
      <c r="AL21" s="4"/>
      <c r="AM21" s="19">
        <f>SUM(AM19:AM20)</f>
        <v>6235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37964.749999999709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37227552.329999842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37969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36691338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25500</v>
      </c>
      <c r="G25" s="38">
        <v>24550</v>
      </c>
      <c r="H25" s="39">
        <f t="shared" ref="H25:H30" si="12">F25+V8-G25</f>
        <v>950</v>
      </c>
      <c r="I25" s="39">
        <f>E6-H25</f>
        <v>124.57000000006519</v>
      </c>
      <c r="J25" s="40">
        <f>E6*0.085</f>
        <v>91.338450000005551</v>
      </c>
      <c r="K25" s="40">
        <f t="shared" ref="K25:K30" si="13">I25-J25</f>
        <v>33.231550000059642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25500</v>
      </c>
      <c r="AI25" s="38">
        <v>24550</v>
      </c>
      <c r="AJ25" s="39">
        <f t="shared" ref="AJ25:AJ30" si="14">AH25+AX8-AI25</f>
        <v>950</v>
      </c>
      <c r="AK25" s="39">
        <f>AG6-AJ25</f>
        <v>125</v>
      </c>
      <c r="AL25" s="40">
        <f>AG6*0.085</f>
        <v>91.375</v>
      </c>
      <c r="AM25" s="40">
        <f t="shared" ref="AM25:AM30" si="15">AK25-AL25</f>
        <v>33.625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17250</v>
      </c>
      <c r="G26" s="38">
        <v>14700</v>
      </c>
      <c r="H26" s="39">
        <f t="shared" si="12"/>
        <v>2550</v>
      </c>
      <c r="I26" s="39">
        <f>E9-H26</f>
        <v>179.56000000005588</v>
      </c>
      <c r="J26" s="40">
        <f>E9*0.085</f>
        <v>232.01260000000477</v>
      </c>
      <c r="K26" s="40">
        <f t="shared" si="13"/>
        <v>-52.452599999948887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17250</v>
      </c>
      <c r="AI26" s="38">
        <v>14700</v>
      </c>
      <c r="AJ26" s="39">
        <f t="shared" si="14"/>
        <v>2550</v>
      </c>
      <c r="AK26" s="39">
        <f>AG9-AJ26</f>
        <v>179</v>
      </c>
      <c r="AL26" s="40">
        <f>AG9*0.085</f>
        <v>231.965</v>
      </c>
      <c r="AM26" s="40">
        <f t="shared" si="15"/>
        <v>-52.965000000000003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20200</v>
      </c>
      <c r="G27" s="38">
        <v>18650</v>
      </c>
      <c r="H27" s="39">
        <f t="shared" si="12"/>
        <v>1550</v>
      </c>
      <c r="I27" s="39">
        <f>E12-H27</f>
        <v>37.5</v>
      </c>
      <c r="J27" s="40">
        <f>E12*0.085</f>
        <v>134.9375</v>
      </c>
      <c r="K27" s="40">
        <f t="shared" si="13"/>
        <v>-97.4375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20200</v>
      </c>
      <c r="AI27" s="38">
        <v>18650</v>
      </c>
      <c r="AJ27" s="39">
        <f t="shared" si="14"/>
        <v>1550</v>
      </c>
      <c r="AK27" s="39">
        <f>AG12-AJ27</f>
        <v>38</v>
      </c>
      <c r="AL27" s="40">
        <f>AG12*0.085</f>
        <v>134.98000000000002</v>
      </c>
      <c r="AM27" s="40">
        <f t="shared" si="15"/>
        <v>-96.980000000000018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23150</v>
      </c>
      <c r="G28" s="38">
        <v>21200</v>
      </c>
      <c r="H28" s="39">
        <f t="shared" si="12"/>
        <v>1950</v>
      </c>
      <c r="I28" s="39">
        <f>E15-H28</f>
        <v>82.959999999962747</v>
      </c>
      <c r="J28" s="40">
        <f>E15*0.085</f>
        <v>172.80159999999685</v>
      </c>
      <c r="K28" s="40">
        <f t="shared" si="13"/>
        <v>-89.841600000034106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23150</v>
      </c>
      <c r="AI28" s="38">
        <v>21200</v>
      </c>
      <c r="AJ28" s="39">
        <f t="shared" si="14"/>
        <v>1950</v>
      </c>
      <c r="AK28" s="39">
        <f>AG15-AJ28</f>
        <v>84</v>
      </c>
      <c r="AL28" s="40">
        <f>AG15*0.085</f>
        <v>172.89000000000001</v>
      </c>
      <c r="AM28" s="40">
        <f t="shared" si="15"/>
        <v>-88.890000000000015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28250</v>
      </c>
      <c r="G29" s="38">
        <v>20400</v>
      </c>
      <c r="H29" s="39">
        <f>F29+V12-G29</f>
        <v>7850</v>
      </c>
      <c r="I29" s="39">
        <f>E18-H29</f>
        <v>708.73999999987427</v>
      </c>
      <c r="J29" s="40">
        <f>E18*0.085</f>
        <v>727.49289999998939</v>
      </c>
      <c r="K29" s="40">
        <f t="shared" si="13"/>
        <v>-18.752900000115119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28250</v>
      </c>
      <c r="AI29" s="38">
        <v>20400</v>
      </c>
      <c r="AJ29" s="39">
        <f t="shared" si="14"/>
        <v>7850</v>
      </c>
      <c r="AK29" s="39">
        <f>AG18-AJ29</f>
        <v>709</v>
      </c>
      <c r="AL29" s="40">
        <f>AG18*0.085</f>
        <v>727.5150000000001</v>
      </c>
      <c r="AM29" s="40">
        <f t="shared" si="15"/>
        <v>-18.5150000000001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13500</v>
      </c>
      <c r="G30" s="38">
        <v>7600</v>
      </c>
      <c r="H30" s="39">
        <f t="shared" si="12"/>
        <v>5900</v>
      </c>
      <c r="I30" s="39">
        <f>E21-H30</f>
        <v>333.78999999997905</v>
      </c>
      <c r="J30" s="40">
        <f>E21*0.085</f>
        <v>529.87214999999821</v>
      </c>
      <c r="K30" s="40">
        <f t="shared" si="13"/>
        <v>-196.08215000001917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13500</v>
      </c>
      <c r="AI30" s="38">
        <v>7600</v>
      </c>
      <c r="AJ30" s="39">
        <f t="shared" si="14"/>
        <v>5900</v>
      </c>
      <c r="AK30" s="39">
        <f>AG21-AJ30</f>
        <v>335</v>
      </c>
      <c r="AL30" s="40">
        <f>AG21*0.085</f>
        <v>529.97500000000002</v>
      </c>
      <c r="AM30" s="40">
        <f t="shared" si="15"/>
        <v>-194.97500000000002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43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533000</v>
      </c>
      <c r="C33" s="16">
        <v>0</v>
      </c>
      <c r="D33" s="16">
        <v>0</v>
      </c>
      <c r="E33" s="16">
        <v>304670</v>
      </c>
      <c r="F33" s="16">
        <v>0</v>
      </c>
      <c r="G33" s="16">
        <v>0</v>
      </c>
      <c r="H33" s="49">
        <v>0</v>
      </c>
      <c r="I33" s="16">
        <v>0</v>
      </c>
      <c r="J33" s="16">
        <v>1844060</v>
      </c>
      <c r="K33" s="16">
        <v>0</v>
      </c>
      <c r="L33" s="16">
        <v>604433</v>
      </c>
      <c r="M33" s="16">
        <v>24139803</v>
      </c>
      <c r="N33" s="16">
        <v>3440420</v>
      </c>
      <c r="O33" s="16">
        <v>0</v>
      </c>
      <c r="P33" s="16">
        <v>435217</v>
      </c>
      <c r="Q33" s="16">
        <v>0</v>
      </c>
      <c r="R33" s="49">
        <v>482327.87</v>
      </c>
      <c r="S33" s="16">
        <v>0</v>
      </c>
      <c r="T33" s="16">
        <v>18364329.190000582</v>
      </c>
      <c r="U33" s="42">
        <f>SUM(S22-A33-B33-W27-C33-D33-E33-F33-G33-H33-I33-J33-K33-L33-M33-N33-O33-P33-Q33-R33-J35-K35-L35-M35-N35-O35-P35-Q35-S33+T33)</f>
        <v>20117822.650000423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931729</v>
      </c>
      <c r="N35" s="16">
        <v>0</v>
      </c>
      <c r="O35" s="16">
        <v>632142</v>
      </c>
      <c r="P35" s="16">
        <v>1540692</v>
      </c>
      <c r="Q35" s="16">
        <v>585565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E15" workbookViewId="0">
      <selection activeCell="M37" sqref="M37"/>
    </sheetView>
  </sheetViews>
  <sheetFormatPr defaultRowHeight="15" x14ac:dyDescent="0.25"/>
  <cols>
    <col min="1" max="1" width="9.7109375" bestFit="1" customWidth="1"/>
    <col min="5" max="5" width="10" bestFit="1" customWidth="1"/>
    <col min="8" max="8" width="10" bestFit="1" customWidth="1"/>
    <col min="10" max="11" width="10.85546875" bestFit="1" customWidth="1"/>
    <col min="13" max="13" width="10.85546875" bestFit="1" customWidth="1"/>
    <col min="14" max="14" width="10" bestFit="1" customWidth="1"/>
    <col min="16" max="17" width="10" bestFit="1" customWidth="1"/>
    <col min="19" max="19" width="12" bestFit="1" customWidth="1"/>
    <col min="20" max="20" width="10.85546875" bestFit="1" customWidth="1"/>
    <col min="21" max="21" width="16.140625" customWidth="1"/>
  </cols>
  <sheetData>
    <row r="1" spans="1:51" x14ac:dyDescent="0.25">
      <c r="A1" s="1">
        <v>46277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1047708.33</v>
      </c>
      <c r="G4" s="4">
        <v>1048977.08</v>
      </c>
      <c r="H4" s="4">
        <v>1048977.08</v>
      </c>
      <c r="I4" s="4"/>
      <c r="J4" s="4"/>
      <c r="K4" s="10">
        <f>G4-F4</f>
        <v>1268.7500000001164</v>
      </c>
      <c r="L4" s="6">
        <v>1374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1743262.50000016</v>
      </c>
      <c r="T4" s="6"/>
      <c r="U4" s="7" t="s">
        <v>9</v>
      </c>
      <c r="V4" s="11">
        <f>E6+E9+E12+E15</f>
        <v>5833.1400000002468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1047736</v>
      </c>
      <c r="AI4" s="4">
        <v>1049004</v>
      </c>
      <c r="AJ4" s="4">
        <v>1049004</v>
      </c>
      <c r="AK4" s="4"/>
      <c r="AL4" s="4"/>
      <c r="AM4" s="10">
        <f>AI4-AH4</f>
        <v>1268</v>
      </c>
      <c r="AN4" s="6">
        <v>1374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1742232</v>
      </c>
      <c r="AV4" s="6"/>
      <c r="AW4" s="7" t="s">
        <v>9</v>
      </c>
      <c r="AX4" s="11">
        <f>AG6+AG9+AG12+AG15</f>
        <v>5833</v>
      </c>
      <c r="AY4" s="11"/>
    </row>
    <row r="5" spans="1:51" x14ac:dyDescent="0.25">
      <c r="C5" s="2"/>
      <c r="D5" s="4"/>
      <c r="E5" s="4" t="s">
        <v>11</v>
      </c>
      <c r="F5" s="4">
        <v>1336362.79</v>
      </c>
      <c r="G5" s="4">
        <v>1337245.19</v>
      </c>
      <c r="H5" s="4">
        <v>1337245.19</v>
      </c>
      <c r="I5" s="4"/>
      <c r="J5" s="4"/>
      <c r="K5" s="10">
        <f>G5-F5</f>
        <v>882.39999999990687</v>
      </c>
      <c r="L5" s="6">
        <v>1374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1212417.599999872</v>
      </c>
      <c r="T5" s="6"/>
      <c r="U5" s="7" t="s">
        <v>12</v>
      </c>
      <c r="V5" s="15">
        <f>E18+E21</f>
        <v>15418.800000000047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1336397</v>
      </c>
      <c r="AI5" s="4">
        <v>1337280</v>
      </c>
      <c r="AJ5" s="4">
        <v>1337280</v>
      </c>
      <c r="AK5" s="4"/>
      <c r="AL5" s="4"/>
      <c r="AM5" s="10">
        <f>AI5-AH5</f>
        <v>883</v>
      </c>
      <c r="AN5" s="6">
        <v>1374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1213242</v>
      </c>
      <c r="AV5" s="6"/>
      <c r="AW5" s="7" t="s">
        <v>12</v>
      </c>
      <c r="AX5" s="15">
        <f>AG18+AG21</f>
        <v>15418</v>
      </c>
      <c r="AY5" s="15"/>
    </row>
    <row r="6" spans="1:51" x14ac:dyDescent="0.25">
      <c r="C6" s="2"/>
      <c r="D6" s="18" t="s">
        <v>14</v>
      </c>
      <c r="E6" s="3">
        <f>K6+M6+O6+Q6</f>
        <v>2151.1500000000233</v>
      </c>
      <c r="F6" s="4"/>
      <c r="G6" s="4"/>
      <c r="H6" s="4"/>
      <c r="I6" s="4"/>
      <c r="J6" s="4"/>
      <c r="K6" s="19">
        <f>SUM(K4:K5)</f>
        <v>2151.1500000000233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2151</v>
      </c>
      <c r="AH6" s="4"/>
      <c r="AI6" s="4"/>
      <c r="AJ6" s="4"/>
      <c r="AK6" s="4"/>
      <c r="AL6" s="4"/>
      <c r="AM6" s="19">
        <f>SUM(AM4:AM5)</f>
        <v>2151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714594.39</v>
      </c>
      <c r="G7" s="4">
        <v>714933.68</v>
      </c>
      <c r="H7" s="4">
        <v>714933.68</v>
      </c>
      <c r="I7" s="4"/>
      <c r="J7" s="4"/>
      <c r="K7" s="10">
        <f>G7-F7</f>
        <v>339.29000000003725</v>
      </c>
      <c r="L7" s="6">
        <v>1374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466184.46000005119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714636</v>
      </c>
      <c r="AI7" s="4">
        <v>714975</v>
      </c>
      <c r="AJ7" s="4">
        <v>714975</v>
      </c>
      <c r="AK7" s="4"/>
      <c r="AL7" s="4"/>
      <c r="AM7" s="10">
        <f>AI7-AH7</f>
        <v>339</v>
      </c>
      <c r="AN7" s="6">
        <v>1374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465786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1114265.81</v>
      </c>
      <c r="G8" s="6">
        <v>1115048.8700000001</v>
      </c>
      <c r="H8" s="6">
        <v>1115048.8700000001</v>
      </c>
      <c r="I8" s="6"/>
      <c r="J8" s="6"/>
      <c r="K8" s="10">
        <f>G8-F8</f>
        <v>783.06000000005588</v>
      </c>
      <c r="L8" s="6">
        <v>1374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1075924.4400000768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1114308</v>
      </c>
      <c r="AI8" s="6">
        <v>1115091</v>
      </c>
      <c r="AJ8" s="6">
        <v>1115091</v>
      </c>
      <c r="AK8" s="6"/>
      <c r="AL8" s="6"/>
      <c r="AM8" s="10">
        <f>AI8-AH8</f>
        <v>783</v>
      </c>
      <c r="AN8" s="6">
        <v>1374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1075842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1122.3500000000931</v>
      </c>
      <c r="F9" s="4"/>
      <c r="G9" s="4"/>
      <c r="H9" s="4"/>
      <c r="I9" s="4"/>
      <c r="J9" s="4"/>
      <c r="K9" s="19">
        <f>SUM(K7:K8)</f>
        <v>1122.3500000000931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1122</v>
      </c>
      <c r="AH9" s="4"/>
      <c r="AI9" s="4"/>
      <c r="AJ9" s="4"/>
      <c r="AK9" s="4"/>
      <c r="AL9" s="4"/>
      <c r="AM9" s="19">
        <f>SUM(AM7:AM8)</f>
        <v>1122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601290.77</v>
      </c>
      <c r="G10" s="6">
        <v>602686.39</v>
      </c>
      <c r="H10" s="6">
        <v>602686.39</v>
      </c>
      <c r="I10" s="6"/>
      <c r="J10" s="6"/>
      <c r="K10" s="10">
        <f>G10-F10</f>
        <v>1395.6199999999953</v>
      </c>
      <c r="L10" s="6">
        <v>1374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1917581.8799999936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601296</v>
      </c>
      <c r="AI10" s="6">
        <v>602692</v>
      </c>
      <c r="AJ10" s="6">
        <v>602692</v>
      </c>
      <c r="AK10" s="6"/>
      <c r="AL10" s="6"/>
      <c r="AM10" s="10">
        <f>AI10-AH10</f>
        <v>1396</v>
      </c>
      <c r="AN10" s="6">
        <v>1374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1918104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946305.75</v>
      </c>
      <c r="G11" s="6">
        <v>946613.54</v>
      </c>
      <c r="H11" s="6">
        <v>946613.54</v>
      </c>
      <c r="I11" s="6"/>
      <c r="J11" s="6"/>
      <c r="K11" s="10">
        <f>G11-F11</f>
        <v>307.79000000003725</v>
      </c>
      <c r="L11" s="6">
        <v>1374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422903.46000005119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946347</v>
      </c>
      <c r="AI11" s="6">
        <v>946655</v>
      </c>
      <c r="AJ11" s="6">
        <v>946655</v>
      </c>
      <c r="AK11" s="6"/>
      <c r="AL11" s="6"/>
      <c r="AM11" s="10">
        <f>AI11-AH11</f>
        <v>308</v>
      </c>
      <c r="AN11" s="6">
        <v>1374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423192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1703.4100000000326</v>
      </c>
      <c r="F12" s="4"/>
      <c r="G12" s="4"/>
      <c r="H12" s="4"/>
      <c r="I12" s="4"/>
      <c r="J12" s="4"/>
      <c r="K12" s="19">
        <f>SUM(K10:K11)</f>
        <v>1703.4100000000326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>
        <v>29600</v>
      </c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1704</v>
      </c>
      <c r="AH12" s="4"/>
      <c r="AI12" s="4"/>
      <c r="AJ12" s="4"/>
      <c r="AK12" s="4"/>
      <c r="AL12" s="4"/>
      <c r="AM12" s="19">
        <f>SUM(AM10:AM11)</f>
        <v>1704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>
        <v>29600</v>
      </c>
      <c r="AY12" s="23"/>
    </row>
    <row r="13" spans="1:51" x14ac:dyDescent="0.25">
      <c r="C13" s="2"/>
      <c r="D13" s="2"/>
      <c r="E13" s="4" t="s">
        <v>26</v>
      </c>
      <c r="F13" s="6">
        <v>531726.96</v>
      </c>
      <c r="G13" s="6">
        <v>532347.06000000006</v>
      </c>
      <c r="H13" s="6">
        <v>532347.06000000006</v>
      </c>
      <c r="I13" s="6"/>
      <c r="J13" s="6"/>
      <c r="K13" s="10">
        <f>G13-F13</f>
        <v>620.10000000009313</v>
      </c>
      <c r="L13" s="6">
        <v>1374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852017.40000012796</v>
      </c>
      <c r="T13" s="6"/>
      <c r="U13" s="7" t="s">
        <v>27</v>
      </c>
      <c r="V13" s="23">
        <v>15450</v>
      </c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531769</v>
      </c>
      <c r="AI13" s="6">
        <v>532389</v>
      </c>
      <c r="AJ13" s="6">
        <v>532389</v>
      </c>
      <c r="AK13" s="6"/>
      <c r="AL13" s="6"/>
      <c r="AM13" s="10">
        <f>AI13-AH13</f>
        <v>620</v>
      </c>
      <c r="AN13" s="6">
        <v>1374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851880</v>
      </c>
      <c r="AV13" s="6"/>
      <c r="AW13" s="7" t="s">
        <v>27</v>
      </c>
      <c r="AX13" s="23">
        <v>15450</v>
      </c>
      <c r="AY13" s="23"/>
    </row>
    <row r="14" spans="1:51" x14ac:dyDescent="0.25">
      <c r="C14" s="2"/>
      <c r="D14" s="18"/>
      <c r="E14" s="4" t="s">
        <v>28</v>
      </c>
      <c r="F14" s="4">
        <v>936445.55</v>
      </c>
      <c r="G14" s="4">
        <v>936681.68</v>
      </c>
      <c r="H14" s="4">
        <v>936681.68</v>
      </c>
      <c r="I14" s="4"/>
      <c r="J14" s="4"/>
      <c r="K14" s="10">
        <f>G14-F14</f>
        <v>236.13000000000466</v>
      </c>
      <c r="L14" s="6">
        <v>1374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324442.6200000064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936478</v>
      </c>
      <c r="AI14" s="4">
        <v>936714</v>
      </c>
      <c r="AJ14" s="4">
        <v>936714</v>
      </c>
      <c r="AK14" s="4"/>
      <c r="AL14" s="4"/>
      <c r="AM14" s="10">
        <f>AI14-AH14</f>
        <v>236</v>
      </c>
      <c r="AN14" s="6">
        <v>1374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324264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856.23000000009779</v>
      </c>
      <c r="F15" s="4"/>
      <c r="G15" s="4"/>
      <c r="H15" s="4"/>
      <c r="I15" s="4"/>
      <c r="J15" s="4"/>
      <c r="K15" s="19">
        <f>SUM(K13:K14)</f>
        <v>856.23000000009779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856</v>
      </c>
      <c r="AH15" s="4"/>
      <c r="AI15" s="4"/>
      <c r="AJ15" s="4"/>
      <c r="AK15" s="4"/>
      <c r="AL15" s="4"/>
      <c r="AM15" s="19">
        <f>SUM(AM13:AM14)</f>
        <v>856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714087.6</v>
      </c>
      <c r="G16" s="4">
        <v>716609.52</v>
      </c>
      <c r="H16" s="4">
        <v>716609.52</v>
      </c>
      <c r="I16" s="4"/>
      <c r="J16" s="4"/>
      <c r="K16" s="10">
        <f>G16-F16</f>
        <v>2521.9200000000419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4713468.4800000787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2068459</v>
      </c>
      <c r="AI16" s="4">
        <v>2070981</v>
      </c>
      <c r="AJ16" s="4">
        <v>2070981</v>
      </c>
      <c r="AK16" s="4"/>
      <c r="AL16" s="4"/>
      <c r="AM16" s="10">
        <f>AI16-AH16</f>
        <v>2522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4713618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707662.33</v>
      </c>
      <c r="G17" s="6">
        <v>713508.47</v>
      </c>
      <c r="H17" s="6">
        <v>713508.47</v>
      </c>
      <c r="I17" s="6"/>
      <c r="J17" s="6"/>
      <c r="K17" s="10">
        <f>G17-F17</f>
        <v>5846.140000000014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10926435.660000026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1741104</v>
      </c>
      <c r="AI17" s="6">
        <v>1746950</v>
      </c>
      <c r="AJ17" s="6">
        <v>1746950</v>
      </c>
      <c r="AK17" s="6"/>
      <c r="AL17" s="6"/>
      <c r="AM17" s="10">
        <f>AI17-AH17</f>
        <v>5846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10926174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8368.0600000000559</v>
      </c>
      <c r="F18" s="4"/>
      <c r="G18" s="4"/>
      <c r="H18" s="4"/>
      <c r="I18" s="4"/>
      <c r="J18" s="4"/>
      <c r="K18" s="19">
        <f>SUM(K16:K17)</f>
        <v>8368.0600000000559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8368</v>
      </c>
      <c r="AH18" s="4"/>
      <c r="AI18" s="4"/>
      <c r="AJ18" s="4"/>
      <c r="AK18" s="4"/>
      <c r="AL18" s="4"/>
      <c r="AM18" s="19">
        <f>SUM(AM16:AM17)</f>
        <v>8368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409635.04</v>
      </c>
      <c r="G19" s="6">
        <v>412007.99</v>
      </c>
      <c r="H19" s="6">
        <v>412007.99</v>
      </c>
      <c r="I19" s="6"/>
      <c r="J19" s="6"/>
      <c r="K19" s="10">
        <f t="shared" ref="K19:K20" si="8">G19-F19</f>
        <v>2372.9500000000116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4435043.5500000222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1249647</v>
      </c>
      <c r="AI19" s="6">
        <v>1252019</v>
      </c>
      <c r="AJ19" s="6">
        <v>1252019</v>
      </c>
      <c r="AK19" s="6"/>
      <c r="AL19" s="6"/>
      <c r="AM19" s="10">
        <f t="shared" ref="AM19:AM20" si="10">AI19-AH19</f>
        <v>2372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4433268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496079.25</v>
      </c>
      <c r="G20" s="6">
        <v>500757.04</v>
      </c>
      <c r="H20" s="6">
        <v>500757.04</v>
      </c>
      <c r="I20" s="6"/>
      <c r="J20" s="6"/>
      <c r="K20" s="10">
        <f t="shared" si="8"/>
        <v>4677.789999999979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8742789.5099999607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1270608</v>
      </c>
      <c r="AI20" s="6">
        <v>1275286</v>
      </c>
      <c r="AJ20" s="6">
        <v>1275286</v>
      </c>
      <c r="AK20" s="6"/>
      <c r="AL20" s="6"/>
      <c r="AM20" s="10">
        <f t="shared" si="10"/>
        <v>4678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8743182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7050.7399999999907</v>
      </c>
      <c r="F21" s="4"/>
      <c r="G21" s="4"/>
      <c r="H21" s="4"/>
      <c r="I21" s="4"/>
      <c r="J21" s="4"/>
      <c r="K21" s="19">
        <f>SUM(K19:K20)</f>
        <v>7050.7399999999907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7050</v>
      </c>
      <c r="AH21" s="4"/>
      <c r="AI21" s="4"/>
      <c r="AJ21" s="4"/>
      <c r="AK21" s="4"/>
      <c r="AL21" s="4"/>
      <c r="AM21" s="19">
        <f>SUM(AM19:AM20)</f>
        <v>7050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35453.140000000596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36832471.560000427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35452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36830784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24550</v>
      </c>
      <c r="G25" s="38">
        <v>22450</v>
      </c>
      <c r="H25" s="39">
        <f t="shared" ref="H25:H30" si="12">F25+V8-G25</f>
        <v>2100</v>
      </c>
      <c r="I25" s="39">
        <f>E6-H25</f>
        <v>51.150000000023283</v>
      </c>
      <c r="J25" s="40">
        <f>E6*0.085</f>
        <v>182.84775000000198</v>
      </c>
      <c r="K25" s="40">
        <f t="shared" ref="K25:K30" si="13">I25-J25</f>
        <v>-131.6977499999787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24550</v>
      </c>
      <c r="AI25" s="38">
        <v>22450</v>
      </c>
      <c r="AJ25" s="39">
        <f t="shared" ref="AJ25:AJ30" si="14">AH25+AX8-AI25</f>
        <v>2100</v>
      </c>
      <c r="AK25" s="39">
        <f>AG6-AJ25</f>
        <v>51</v>
      </c>
      <c r="AL25" s="40">
        <f>AG6*0.085</f>
        <v>182.83500000000001</v>
      </c>
      <c r="AM25" s="40">
        <f t="shared" ref="AM25:AM30" si="15">AK25-AL25</f>
        <v>-131.83500000000001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14700</v>
      </c>
      <c r="G26" s="38">
        <v>13550</v>
      </c>
      <c r="H26" s="39">
        <f t="shared" si="12"/>
        <v>1150</v>
      </c>
      <c r="I26" s="39">
        <f>E9-H26</f>
        <v>-27.649999999906868</v>
      </c>
      <c r="J26" s="40">
        <f>E9*0.085</f>
        <v>95.399750000007927</v>
      </c>
      <c r="K26" s="40">
        <f t="shared" si="13"/>
        <v>-123.04974999991479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14700</v>
      </c>
      <c r="AI26" s="38">
        <v>13550</v>
      </c>
      <c r="AJ26" s="39">
        <f t="shared" si="14"/>
        <v>1150</v>
      </c>
      <c r="AK26" s="39">
        <f>AG9-AJ26</f>
        <v>-28</v>
      </c>
      <c r="AL26" s="40">
        <f>AG9*0.085</f>
        <v>95.37</v>
      </c>
      <c r="AM26" s="40">
        <f t="shared" si="15"/>
        <v>-123.37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18650</v>
      </c>
      <c r="G27" s="38">
        <v>17150</v>
      </c>
      <c r="H27" s="39">
        <f t="shared" si="12"/>
        <v>1500</v>
      </c>
      <c r="I27" s="39">
        <f>E12-H27</f>
        <v>203.4100000000326</v>
      </c>
      <c r="J27" s="40">
        <f>E12*0.085</f>
        <v>144.78985000000279</v>
      </c>
      <c r="K27" s="40">
        <f t="shared" si="13"/>
        <v>58.62015000002981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18650</v>
      </c>
      <c r="AI27" s="38">
        <v>17150</v>
      </c>
      <c r="AJ27" s="39">
        <f t="shared" si="14"/>
        <v>1500</v>
      </c>
      <c r="AK27" s="39">
        <f>AG12-AJ27</f>
        <v>204</v>
      </c>
      <c r="AL27" s="40">
        <f>AG12*0.085</f>
        <v>144.84</v>
      </c>
      <c r="AM27" s="40">
        <f t="shared" si="15"/>
        <v>59.16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21200</v>
      </c>
      <c r="G28" s="38">
        <v>20450</v>
      </c>
      <c r="H28" s="39">
        <f t="shared" si="12"/>
        <v>750</v>
      </c>
      <c r="I28" s="39">
        <f>E15-H28</f>
        <v>106.23000000009779</v>
      </c>
      <c r="J28" s="40">
        <f>E15*0.085</f>
        <v>72.779550000008314</v>
      </c>
      <c r="K28" s="40">
        <f t="shared" si="13"/>
        <v>33.450450000089475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21200</v>
      </c>
      <c r="AI28" s="38">
        <v>20450</v>
      </c>
      <c r="AJ28" s="39">
        <f t="shared" si="14"/>
        <v>750</v>
      </c>
      <c r="AK28" s="39">
        <f>AG15-AJ28</f>
        <v>106</v>
      </c>
      <c r="AL28" s="40">
        <f>AG15*0.085</f>
        <v>72.760000000000005</v>
      </c>
      <c r="AM28" s="40">
        <f t="shared" si="15"/>
        <v>33.239999999999995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20400</v>
      </c>
      <c r="G29" s="38">
        <v>41800</v>
      </c>
      <c r="H29" s="39">
        <f>F29+V12-G29</f>
        <v>8200</v>
      </c>
      <c r="I29" s="39">
        <f>E18-H29</f>
        <v>168.06000000005588</v>
      </c>
      <c r="J29" s="40">
        <f>E18*0.085</f>
        <v>711.28510000000483</v>
      </c>
      <c r="K29" s="40">
        <f t="shared" si="13"/>
        <v>-543.22509999994895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20400</v>
      </c>
      <c r="AI29" s="38">
        <v>41800</v>
      </c>
      <c r="AJ29" s="39">
        <f t="shared" si="14"/>
        <v>8200</v>
      </c>
      <c r="AK29" s="39">
        <f>AG18-AJ29</f>
        <v>168</v>
      </c>
      <c r="AL29" s="40">
        <f>AG18*0.085</f>
        <v>711.28000000000009</v>
      </c>
      <c r="AM29" s="40">
        <f t="shared" si="15"/>
        <v>-543.28000000000009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7600</v>
      </c>
      <c r="G30" s="38">
        <v>16350</v>
      </c>
      <c r="H30" s="39">
        <f t="shared" si="12"/>
        <v>6700</v>
      </c>
      <c r="I30" s="39">
        <f>E21-H30</f>
        <v>350.73999999999069</v>
      </c>
      <c r="J30" s="40">
        <f>E21*0.085</f>
        <v>599.31289999999922</v>
      </c>
      <c r="K30" s="40">
        <f t="shared" si="13"/>
        <v>-248.57290000000853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7600</v>
      </c>
      <c r="AI30" s="38">
        <v>16350</v>
      </c>
      <c r="AJ30" s="39">
        <f t="shared" si="14"/>
        <v>6700</v>
      </c>
      <c r="AK30" s="39">
        <f>AG21-AJ30</f>
        <v>350</v>
      </c>
      <c r="AL30" s="40">
        <f>AG21*0.085</f>
        <v>599.25</v>
      </c>
      <c r="AM30" s="40">
        <f t="shared" si="15"/>
        <v>-249.25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819347.16</v>
      </c>
      <c r="C33" s="16">
        <v>0</v>
      </c>
      <c r="D33" s="16">
        <v>0</v>
      </c>
      <c r="E33" s="16">
        <v>0</v>
      </c>
      <c r="F33" s="16">
        <v>0</v>
      </c>
      <c r="G33" s="16">
        <v>157500</v>
      </c>
      <c r="H33" s="49">
        <v>1626134</v>
      </c>
      <c r="I33" s="16">
        <v>209022</v>
      </c>
      <c r="J33" s="16">
        <v>24199604</v>
      </c>
      <c r="K33" s="16">
        <v>786152</v>
      </c>
      <c r="L33" s="16">
        <v>0</v>
      </c>
      <c r="M33" s="16">
        <v>3481000</v>
      </c>
      <c r="N33" s="16">
        <v>0</v>
      </c>
      <c r="O33" s="16">
        <v>255936.32</v>
      </c>
      <c r="P33" s="16">
        <v>0</v>
      </c>
      <c r="Q33" s="16">
        <v>1600695</v>
      </c>
      <c r="R33" s="49">
        <v>0</v>
      </c>
      <c r="S33" s="16">
        <v>311790</v>
      </c>
      <c r="T33" s="16">
        <v>20117822.649999999</v>
      </c>
      <c r="U33" s="42">
        <f>SUM(S22-A33-B33-W27-C33-D33-E33-F33-G33-H33-I33-J33-K33-L33-M33-N33-O33-P33-Q33-R33-J35-K35-L35-M35-N35-O35-P35-Q35-S33+T33)</f>
        <v>23085213.730000429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173800</v>
      </c>
      <c r="K35" s="16"/>
      <c r="L35" s="16">
        <v>0</v>
      </c>
      <c r="M35" s="16">
        <v>0</v>
      </c>
      <c r="N35" s="16">
        <v>244100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F14" workbookViewId="0">
      <selection activeCell="S36" sqref="S36"/>
    </sheetView>
  </sheetViews>
  <sheetFormatPr defaultRowHeight="15" x14ac:dyDescent="0.25"/>
  <cols>
    <col min="1" max="1" width="9.7109375" bestFit="1" customWidth="1"/>
    <col min="5" max="5" width="10" bestFit="1" customWidth="1"/>
    <col min="8" max="8" width="10" bestFit="1" customWidth="1"/>
    <col min="10" max="11" width="10.85546875" bestFit="1" customWidth="1"/>
    <col min="13" max="13" width="10.85546875" bestFit="1" customWidth="1"/>
    <col min="14" max="14" width="10" bestFit="1" customWidth="1"/>
    <col min="16" max="17" width="10" bestFit="1" customWidth="1"/>
    <col min="19" max="19" width="12" bestFit="1" customWidth="1"/>
    <col min="20" max="20" width="10.85546875" bestFit="1" customWidth="1"/>
    <col min="21" max="21" width="16.140625" customWidth="1"/>
  </cols>
  <sheetData>
    <row r="1" spans="1:51" x14ac:dyDescent="0.25">
      <c r="A1" s="1">
        <v>46278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1048977.08</v>
      </c>
      <c r="G4" s="4">
        <v>1049506.55</v>
      </c>
      <c r="H4" s="4">
        <v>1049506.55</v>
      </c>
      <c r="I4" s="4"/>
      <c r="J4" s="4"/>
      <c r="K4" s="10">
        <f>G4-F4</f>
        <v>529.46999999997206</v>
      </c>
      <c r="L4" s="6">
        <v>1374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727491.77999996161</v>
      </c>
      <c r="T4" s="6"/>
      <c r="U4" s="7" t="s">
        <v>9</v>
      </c>
      <c r="V4" s="11">
        <f>E6+E9+E12+E15</f>
        <v>5712.7099999996135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1049004</v>
      </c>
      <c r="AI4" s="4">
        <v>1049534</v>
      </c>
      <c r="AJ4" s="4">
        <v>1049534</v>
      </c>
      <c r="AK4" s="4"/>
      <c r="AL4" s="4"/>
      <c r="AM4" s="10">
        <f>AI4-AH4</f>
        <v>530</v>
      </c>
      <c r="AN4" s="6">
        <v>1374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728220</v>
      </c>
      <c r="AV4" s="6"/>
      <c r="AW4" s="7" t="s">
        <v>9</v>
      </c>
      <c r="AX4" s="11">
        <f>AG6+AG9+AG12+AG15</f>
        <v>5714</v>
      </c>
      <c r="AY4" s="11"/>
    </row>
    <row r="5" spans="1:51" x14ac:dyDescent="0.25">
      <c r="C5" s="2"/>
      <c r="D5" s="4"/>
      <c r="E5" s="4" t="s">
        <v>11</v>
      </c>
      <c r="F5" s="4">
        <v>1337245.19</v>
      </c>
      <c r="G5" s="4">
        <v>1338127.54</v>
      </c>
      <c r="H5" s="4">
        <v>1338127.54</v>
      </c>
      <c r="I5" s="4"/>
      <c r="J5" s="4"/>
      <c r="K5" s="10">
        <f>G5-F5</f>
        <v>882.35000000009313</v>
      </c>
      <c r="L5" s="6">
        <v>1374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1212348.900000128</v>
      </c>
      <c r="T5" s="6"/>
      <c r="U5" s="7" t="s">
        <v>12</v>
      </c>
      <c r="V5" s="15">
        <f>E18+E21</f>
        <v>10797.26999999996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1337280</v>
      </c>
      <c r="AI5" s="4">
        <v>1338162</v>
      </c>
      <c r="AJ5" s="4">
        <v>1338162</v>
      </c>
      <c r="AK5" s="4"/>
      <c r="AL5" s="4"/>
      <c r="AM5" s="10">
        <f>AI5-AH5</f>
        <v>882</v>
      </c>
      <c r="AN5" s="6">
        <v>1374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1211868</v>
      </c>
      <c r="AV5" s="6"/>
      <c r="AW5" s="7" t="s">
        <v>12</v>
      </c>
      <c r="AX5" s="15">
        <f>AG18+AG21</f>
        <v>10798</v>
      </c>
      <c r="AY5" s="15"/>
    </row>
    <row r="6" spans="1:51" x14ac:dyDescent="0.25">
      <c r="C6" s="2"/>
      <c r="D6" s="18" t="s">
        <v>14</v>
      </c>
      <c r="E6" s="3">
        <f>K6+M6+O6+Q6</f>
        <v>1411.8200000000652</v>
      </c>
      <c r="F6" s="4"/>
      <c r="G6" s="4"/>
      <c r="H6" s="4"/>
      <c r="I6" s="4"/>
      <c r="J6" s="4"/>
      <c r="K6" s="19">
        <f>SUM(K4:K5)</f>
        <v>1411.8200000000652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1412</v>
      </c>
      <c r="AH6" s="4"/>
      <c r="AI6" s="4"/>
      <c r="AJ6" s="4"/>
      <c r="AK6" s="4"/>
      <c r="AL6" s="4"/>
      <c r="AM6" s="19">
        <f>SUM(AM4:AM5)</f>
        <v>1412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714933.68</v>
      </c>
      <c r="G7" s="4">
        <v>715811.12</v>
      </c>
      <c r="H7" s="4">
        <v>715811.12</v>
      </c>
      <c r="I7" s="4"/>
      <c r="J7" s="4"/>
      <c r="K7" s="10">
        <f>G7-F7</f>
        <v>877.43999999994412</v>
      </c>
      <c r="L7" s="6">
        <v>1374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1205602.5599999232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714975</v>
      </c>
      <c r="AI7" s="4">
        <v>715853</v>
      </c>
      <c r="AJ7" s="4">
        <v>715853</v>
      </c>
      <c r="AK7" s="4"/>
      <c r="AL7" s="4"/>
      <c r="AM7" s="10">
        <f>AI7-AH7</f>
        <v>878</v>
      </c>
      <c r="AN7" s="6">
        <v>1374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1206372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1115048.8700000001</v>
      </c>
      <c r="G8" s="6">
        <v>1116217.3999999999</v>
      </c>
      <c r="H8" s="6">
        <v>1116217.3999999999</v>
      </c>
      <c r="I8" s="6"/>
      <c r="J8" s="6"/>
      <c r="K8" s="10">
        <f>G8-F8</f>
        <v>1168.5299999997951</v>
      </c>
      <c r="L8" s="6">
        <v>1374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1605560.2199997185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1115091</v>
      </c>
      <c r="AI8" s="6">
        <v>1116260</v>
      </c>
      <c r="AJ8" s="6">
        <v>1116260</v>
      </c>
      <c r="AK8" s="6"/>
      <c r="AL8" s="6"/>
      <c r="AM8" s="10">
        <f>AI8-AH8</f>
        <v>1169</v>
      </c>
      <c r="AN8" s="6">
        <v>1374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1606206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2045.9699999997392</v>
      </c>
      <c r="F9" s="4"/>
      <c r="G9" s="4"/>
      <c r="H9" s="4"/>
      <c r="I9" s="4"/>
      <c r="J9" s="4"/>
      <c r="K9" s="19">
        <f>SUM(K7:K8)</f>
        <v>2045.9699999997392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2047</v>
      </c>
      <c r="AH9" s="4"/>
      <c r="AI9" s="4"/>
      <c r="AJ9" s="4"/>
      <c r="AK9" s="4"/>
      <c r="AL9" s="4"/>
      <c r="AM9" s="19">
        <f>SUM(AM7:AM8)</f>
        <v>2047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602686.39</v>
      </c>
      <c r="G10" s="6">
        <v>603046.01</v>
      </c>
      <c r="H10" s="6">
        <v>603046.01</v>
      </c>
      <c r="I10" s="6"/>
      <c r="J10" s="6"/>
      <c r="K10" s="10">
        <f>G10-F10</f>
        <v>359.61999999999534</v>
      </c>
      <c r="L10" s="6">
        <v>1374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494117.8799999936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602692</v>
      </c>
      <c r="AI10" s="6">
        <v>603052</v>
      </c>
      <c r="AJ10" s="6">
        <v>603052</v>
      </c>
      <c r="AK10" s="6"/>
      <c r="AL10" s="6"/>
      <c r="AM10" s="10">
        <f>AI10-AH10</f>
        <v>360</v>
      </c>
      <c r="AN10" s="6">
        <v>1374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494640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946613.54</v>
      </c>
      <c r="G11" s="6">
        <v>947408.58</v>
      </c>
      <c r="H11" s="6">
        <v>947408.58</v>
      </c>
      <c r="I11" s="6"/>
      <c r="J11" s="6"/>
      <c r="K11" s="10">
        <f>G11-F11</f>
        <v>795.03999999992084</v>
      </c>
      <c r="L11" s="6">
        <v>1374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1092384.9599998912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946655</v>
      </c>
      <c r="AI11" s="6">
        <v>947450</v>
      </c>
      <c r="AJ11" s="6">
        <v>947450</v>
      </c>
      <c r="AK11" s="6"/>
      <c r="AL11" s="6"/>
      <c r="AM11" s="10">
        <f>AI11-AH11</f>
        <v>795</v>
      </c>
      <c r="AN11" s="6">
        <v>1374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1092330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1154.6599999999162</v>
      </c>
      <c r="F12" s="4"/>
      <c r="G12" s="4"/>
      <c r="H12" s="4"/>
      <c r="I12" s="4"/>
      <c r="J12" s="4"/>
      <c r="K12" s="19">
        <f>SUM(K10:K11)</f>
        <v>1154.6599999999162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1155</v>
      </c>
      <c r="AH12" s="4"/>
      <c r="AI12" s="4"/>
      <c r="AJ12" s="4"/>
      <c r="AK12" s="4"/>
      <c r="AL12" s="4"/>
      <c r="AM12" s="19">
        <f>SUM(AM10:AM11)</f>
        <v>1155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532347.06000000006</v>
      </c>
      <c r="G13" s="6">
        <v>532926.5</v>
      </c>
      <c r="H13" s="6">
        <v>532926.5</v>
      </c>
      <c r="I13" s="6"/>
      <c r="J13" s="6"/>
      <c r="K13" s="10">
        <f>G13-F13</f>
        <v>579.43999999994412</v>
      </c>
      <c r="L13" s="6">
        <v>1374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796150.55999992322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532389</v>
      </c>
      <c r="AI13" s="6">
        <v>532968</v>
      </c>
      <c r="AJ13" s="6">
        <v>532968</v>
      </c>
      <c r="AK13" s="6"/>
      <c r="AL13" s="6"/>
      <c r="AM13" s="10">
        <f>AI13-AH13</f>
        <v>579</v>
      </c>
      <c r="AN13" s="6">
        <v>1374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795546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936681.68</v>
      </c>
      <c r="G14" s="4">
        <v>937202.5</v>
      </c>
      <c r="H14" s="4">
        <v>937202.5</v>
      </c>
      <c r="I14" s="4"/>
      <c r="J14" s="4"/>
      <c r="K14" s="10">
        <f>G14-F14</f>
        <v>520.81999999994878</v>
      </c>
      <c r="L14" s="6">
        <v>1374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715606.67999992962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936714</v>
      </c>
      <c r="AI14" s="4">
        <v>937235</v>
      </c>
      <c r="AJ14" s="4">
        <v>937235</v>
      </c>
      <c r="AK14" s="4"/>
      <c r="AL14" s="4"/>
      <c r="AM14" s="10">
        <f>AI14-AH14</f>
        <v>521</v>
      </c>
      <c r="AN14" s="6">
        <v>1374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715854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1100.2599999998929</v>
      </c>
      <c r="F15" s="4"/>
      <c r="G15" s="4"/>
      <c r="H15" s="4"/>
      <c r="I15" s="4"/>
      <c r="J15" s="4"/>
      <c r="K15" s="19">
        <f>SUM(K13:K14)</f>
        <v>1100.2599999998929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1100</v>
      </c>
      <c r="AH15" s="4"/>
      <c r="AI15" s="4"/>
      <c r="AJ15" s="4"/>
      <c r="AK15" s="4"/>
      <c r="AL15" s="4"/>
      <c r="AM15" s="19">
        <f>SUM(AM13:AM14)</f>
        <v>1100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716609.52</v>
      </c>
      <c r="G16" s="4">
        <v>718600.01</v>
      </c>
      <c r="H16" s="4">
        <v>718600.01</v>
      </c>
      <c r="I16" s="4"/>
      <c r="J16" s="4"/>
      <c r="K16" s="10">
        <f>G16-F16</f>
        <v>1990.4899999999907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3720225.8099999828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2070981</v>
      </c>
      <c r="AI16" s="4">
        <v>2072972</v>
      </c>
      <c r="AJ16" s="4">
        <v>2072972</v>
      </c>
      <c r="AK16" s="4"/>
      <c r="AL16" s="4"/>
      <c r="AM16" s="10">
        <f>AI16-AH16</f>
        <v>1991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3721179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713508.47</v>
      </c>
      <c r="G17" s="6">
        <v>715752.45</v>
      </c>
      <c r="H17" s="6">
        <v>715752.45</v>
      </c>
      <c r="I17" s="6"/>
      <c r="J17" s="6"/>
      <c r="K17" s="10">
        <f>G17-F17</f>
        <v>2243.9799999999814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4193998.6199999652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1746950</v>
      </c>
      <c r="AI17" s="6">
        <v>1749194</v>
      </c>
      <c r="AJ17" s="6">
        <v>1749194</v>
      </c>
      <c r="AK17" s="6"/>
      <c r="AL17" s="6"/>
      <c r="AM17" s="10">
        <f>AI17-AH17</f>
        <v>2244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4194036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4234.4699999999721</v>
      </c>
      <c r="F18" s="4"/>
      <c r="G18" s="4"/>
      <c r="H18" s="4"/>
      <c r="I18" s="4"/>
      <c r="J18" s="4"/>
      <c r="K18" s="19">
        <f>SUM(K16:K17)</f>
        <v>4234.4699999999721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4235</v>
      </c>
      <c r="AH18" s="4"/>
      <c r="AI18" s="4"/>
      <c r="AJ18" s="4"/>
      <c r="AK18" s="4"/>
      <c r="AL18" s="4"/>
      <c r="AM18" s="19">
        <f>SUM(AM16:AM17)</f>
        <v>4235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412007.99</v>
      </c>
      <c r="G19" s="6">
        <v>415316.1</v>
      </c>
      <c r="H19" s="6">
        <v>415316.1</v>
      </c>
      <c r="I19" s="6"/>
      <c r="J19" s="6"/>
      <c r="K19" s="10">
        <f t="shared" ref="K19:K20" si="8">G19-F19</f>
        <v>3308.109999999986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6182857.5899999738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1252019</v>
      </c>
      <c r="AI19" s="6">
        <v>1255328</v>
      </c>
      <c r="AJ19" s="6">
        <v>1255328</v>
      </c>
      <c r="AK19" s="6"/>
      <c r="AL19" s="6"/>
      <c r="AM19" s="10">
        <f t="shared" ref="AM19:AM20" si="10">AI19-AH19</f>
        <v>3309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6184521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500757.04</v>
      </c>
      <c r="G20" s="6">
        <v>504011.73</v>
      </c>
      <c r="H20" s="6">
        <v>504011.73</v>
      </c>
      <c r="I20" s="6"/>
      <c r="J20" s="6"/>
      <c r="K20" s="10">
        <f t="shared" si="8"/>
        <v>3254.6900000000023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6083015.6100000041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1275286</v>
      </c>
      <c r="AI20" s="6">
        <v>1278540</v>
      </c>
      <c r="AJ20" s="6">
        <v>1278540</v>
      </c>
      <c r="AK20" s="6"/>
      <c r="AL20" s="6"/>
      <c r="AM20" s="10">
        <f t="shared" si="10"/>
        <v>3254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6081726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6562.7999999999884</v>
      </c>
      <c r="F21" s="4"/>
      <c r="G21" s="4"/>
      <c r="H21" s="4"/>
      <c r="I21" s="4"/>
      <c r="J21" s="4"/>
      <c r="K21" s="19">
        <f>SUM(K19:K20)</f>
        <v>6562.7999999999884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6563</v>
      </c>
      <c r="AH21" s="4"/>
      <c r="AI21" s="4"/>
      <c r="AJ21" s="4"/>
      <c r="AK21" s="4"/>
      <c r="AL21" s="4"/>
      <c r="AM21" s="19">
        <f>SUM(AM19:AM20)</f>
        <v>6563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26457.159999999159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28029361.169999395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26461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28032498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22450</v>
      </c>
      <c r="G25" s="38">
        <v>21000</v>
      </c>
      <c r="H25" s="39">
        <f t="shared" ref="H25:H30" si="12">F25+V8-G25</f>
        <v>1450</v>
      </c>
      <c r="I25" s="39">
        <f>E6-H25</f>
        <v>-38.179999999934807</v>
      </c>
      <c r="J25" s="40">
        <f>E6*0.085</f>
        <v>120.00470000000556</v>
      </c>
      <c r="K25" s="40">
        <f t="shared" ref="K25:K30" si="13">I25-J25</f>
        <v>-158.18469999994036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22450</v>
      </c>
      <c r="AI25" s="38">
        <v>21000</v>
      </c>
      <c r="AJ25" s="39">
        <f t="shared" ref="AJ25:AJ30" si="14">AH25+AX8-AI25</f>
        <v>1450</v>
      </c>
      <c r="AK25" s="39">
        <f>AG6-AJ25</f>
        <v>-38</v>
      </c>
      <c r="AL25" s="40">
        <f>AG6*0.085</f>
        <v>120.02000000000001</v>
      </c>
      <c r="AM25" s="40">
        <f t="shared" ref="AM25:AM30" si="15">AK25-AL25</f>
        <v>-158.02000000000001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13550</v>
      </c>
      <c r="G26" s="38">
        <v>11650</v>
      </c>
      <c r="H26" s="39">
        <f t="shared" si="12"/>
        <v>1900</v>
      </c>
      <c r="I26" s="39">
        <f>E9-H26</f>
        <v>145.96999999973923</v>
      </c>
      <c r="J26" s="40">
        <f>E9*0.085</f>
        <v>173.90744999997784</v>
      </c>
      <c r="K26" s="40">
        <f t="shared" si="13"/>
        <v>-27.937450000238613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13550</v>
      </c>
      <c r="AI26" s="38">
        <v>11650</v>
      </c>
      <c r="AJ26" s="39">
        <f t="shared" si="14"/>
        <v>1900</v>
      </c>
      <c r="AK26" s="39">
        <f>AG9-AJ26</f>
        <v>147</v>
      </c>
      <c r="AL26" s="40">
        <f>AG9*0.085</f>
        <v>173.995</v>
      </c>
      <c r="AM26" s="40">
        <f t="shared" si="15"/>
        <v>-26.995000000000005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17150</v>
      </c>
      <c r="G27" s="38">
        <v>15900</v>
      </c>
      <c r="H27" s="39">
        <f t="shared" si="12"/>
        <v>1250</v>
      </c>
      <c r="I27" s="39">
        <f>E12-H27</f>
        <v>-95.340000000083819</v>
      </c>
      <c r="J27" s="40">
        <f>E12*0.085</f>
        <v>98.146099999992884</v>
      </c>
      <c r="K27" s="40">
        <f t="shared" si="13"/>
        <v>-193.4861000000767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17150</v>
      </c>
      <c r="AI27" s="38">
        <v>15900</v>
      </c>
      <c r="AJ27" s="39">
        <f t="shared" si="14"/>
        <v>1250</v>
      </c>
      <c r="AK27" s="39">
        <f>AG12-AJ27</f>
        <v>-95</v>
      </c>
      <c r="AL27" s="40">
        <f>AG12*0.085</f>
        <v>98.175000000000011</v>
      </c>
      <c r="AM27" s="40">
        <f t="shared" si="15"/>
        <v>-193.17500000000001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20450</v>
      </c>
      <c r="G28" s="38">
        <v>19350</v>
      </c>
      <c r="H28" s="39">
        <f t="shared" si="12"/>
        <v>1100</v>
      </c>
      <c r="I28" s="39">
        <f>E15-H28</f>
        <v>0.2599999998928979</v>
      </c>
      <c r="J28" s="40">
        <f>E15*0.085</f>
        <v>93.5220999999909</v>
      </c>
      <c r="K28" s="40">
        <f t="shared" si="13"/>
        <v>-93.262100000098002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20450</v>
      </c>
      <c r="AI28" s="38">
        <v>19350</v>
      </c>
      <c r="AJ28" s="39">
        <f t="shared" si="14"/>
        <v>1100</v>
      </c>
      <c r="AK28" s="39">
        <f>AG15-AJ28</f>
        <v>0</v>
      </c>
      <c r="AL28" s="40">
        <f>AG15*0.085</f>
        <v>93.5</v>
      </c>
      <c r="AM28" s="40">
        <f t="shared" si="15"/>
        <v>-93.5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41800</v>
      </c>
      <c r="G29" s="38">
        <v>37750</v>
      </c>
      <c r="H29" s="39">
        <f>F29+V12-G29</f>
        <v>4050</v>
      </c>
      <c r="I29" s="39">
        <f>E18-H29</f>
        <v>184.46999999997206</v>
      </c>
      <c r="J29" s="40">
        <f>E18*0.085</f>
        <v>359.92994999999763</v>
      </c>
      <c r="K29" s="40">
        <f t="shared" si="13"/>
        <v>-175.45995000002557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41800</v>
      </c>
      <c r="AI29" s="38">
        <v>37750</v>
      </c>
      <c r="AJ29" s="39">
        <f t="shared" si="14"/>
        <v>4050</v>
      </c>
      <c r="AK29" s="39">
        <f>AG18-AJ29</f>
        <v>185</v>
      </c>
      <c r="AL29" s="40">
        <f>AG18*0.085</f>
        <v>359.97500000000002</v>
      </c>
      <c r="AM29" s="40">
        <f t="shared" si="15"/>
        <v>-174.97500000000002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16350</v>
      </c>
      <c r="G30" s="38">
        <v>10150</v>
      </c>
      <c r="H30" s="39">
        <f t="shared" si="12"/>
        <v>6200</v>
      </c>
      <c r="I30" s="39">
        <f>E21-H30</f>
        <v>362.79999999998836</v>
      </c>
      <c r="J30" s="40">
        <f>E21*0.085</f>
        <v>557.83799999999906</v>
      </c>
      <c r="K30" s="40">
        <f t="shared" si="13"/>
        <v>-195.0380000000107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16350</v>
      </c>
      <c r="AI30" s="38">
        <v>10150</v>
      </c>
      <c r="AJ30" s="39">
        <f t="shared" si="14"/>
        <v>6200</v>
      </c>
      <c r="AK30" s="39">
        <f>AG21-AJ30</f>
        <v>363</v>
      </c>
      <c r="AL30" s="40">
        <f>AG21*0.085</f>
        <v>557.85500000000002</v>
      </c>
      <c r="AM30" s="40">
        <f t="shared" si="15"/>
        <v>-194.85500000000002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111000</v>
      </c>
      <c r="C33" s="16">
        <v>0</v>
      </c>
      <c r="D33" s="16">
        <v>0</v>
      </c>
      <c r="E33" s="16">
        <v>460400</v>
      </c>
      <c r="F33" s="16">
        <v>0</v>
      </c>
      <c r="G33" s="16">
        <v>0</v>
      </c>
      <c r="H33" s="49">
        <v>0</v>
      </c>
      <c r="I33" s="16">
        <v>0</v>
      </c>
      <c r="J33" s="16">
        <v>934500</v>
      </c>
      <c r="K33" s="16">
        <v>0</v>
      </c>
      <c r="L33" s="16">
        <v>622150</v>
      </c>
      <c r="M33" s="16">
        <v>16478011</v>
      </c>
      <c r="N33" s="16">
        <v>3600476</v>
      </c>
      <c r="O33" s="16">
        <v>0</v>
      </c>
      <c r="P33" s="16">
        <v>140200</v>
      </c>
      <c r="Q33" s="16">
        <v>0</v>
      </c>
      <c r="R33" s="49">
        <v>287647.68</v>
      </c>
      <c r="S33" s="16">
        <v>0</v>
      </c>
      <c r="T33" s="16">
        <v>23085213.73</v>
      </c>
      <c r="U33" s="42">
        <f>SUM(S22-A33-B33-W27-C33-D33-E33-F33-G33-H33-I33-J33-K33-L33-M33-N33-O33-P33-Q33-R33-J35-K35-L35-M35-N35-O35-P35-Q35-S33+T33)</f>
        <v>26015606.219999395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611300</v>
      </c>
      <c r="N35" s="16">
        <v>0</v>
      </c>
      <c r="O35" s="16">
        <v>877246</v>
      </c>
      <c r="P35" s="16">
        <v>256775</v>
      </c>
      <c r="Q35" s="16">
        <v>719263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E14" workbookViewId="0">
      <selection activeCell="R35" sqref="R35"/>
    </sheetView>
  </sheetViews>
  <sheetFormatPr defaultRowHeight="15" x14ac:dyDescent="0.25"/>
  <cols>
    <col min="1" max="1" width="9.7109375" bestFit="1" customWidth="1"/>
    <col min="5" max="5" width="10" bestFit="1" customWidth="1"/>
    <col min="7" max="8" width="10" bestFit="1" customWidth="1"/>
    <col min="10" max="11" width="10.85546875" bestFit="1" customWidth="1"/>
    <col min="13" max="13" width="10.85546875" bestFit="1" customWidth="1"/>
    <col min="14" max="14" width="10" bestFit="1" customWidth="1"/>
    <col min="16" max="17" width="10" bestFit="1" customWidth="1"/>
    <col min="19" max="19" width="12" bestFit="1" customWidth="1"/>
    <col min="20" max="20" width="10.85546875" bestFit="1" customWidth="1"/>
    <col min="21" max="21" width="16.140625" customWidth="1"/>
  </cols>
  <sheetData>
    <row r="1" spans="1:51" x14ac:dyDescent="0.25">
      <c r="A1" s="1">
        <v>46279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1049506.55</v>
      </c>
      <c r="G4" s="4">
        <v>1050929.27</v>
      </c>
      <c r="H4" s="4">
        <v>1050929.27</v>
      </c>
      <c r="I4" s="4"/>
      <c r="J4" s="4"/>
      <c r="K4" s="10">
        <f>G4-F4</f>
        <v>1422.7199999999721</v>
      </c>
      <c r="L4" s="6">
        <v>1374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1954817.2799999616</v>
      </c>
      <c r="T4" s="6"/>
      <c r="U4" s="7" t="s">
        <v>9</v>
      </c>
      <c r="V4" s="11">
        <f>E6+E9+E12+E15</f>
        <v>6376.3100000001723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1049534</v>
      </c>
      <c r="AI4" s="4">
        <v>1050957</v>
      </c>
      <c r="AJ4" s="4">
        <v>1050957</v>
      </c>
      <c r="AK4" s="4"/>
      <c r="AL4" s="4"/>
      <c r="AM4" s="10">
        <f>AI4-AH4</f>
        <v>1423</v>
      </c>
      <c r="AN4" s="6">
        <v>1374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1955202</v>
      </c>
      <c r="AV4" s="6"/>
      <c r="AW4" s="7" t="s">
        <v>9</v>
      </c>
      <c r="AX4" s="11">
        <f>AG6+AG9+AG12+AG15</f>
        <v>6376</v>
      </c>
      <c r="AY4" s="11"/>
    </row>
    <row r="5" spans="1:51" x14ac:dyDescent="0.25">
      <c r="C5" s="2"/>
      <c r="D5" s="4"/>
      <c r="E5" s="4" t="s">
        <v>11</v>
      </c>
      <c r="F5" s="4">
        <v>1338127.54</v>
      </c>
      <c r="G5" s="4">
        <v>1339066.58</v>
      </c>
      <c r="H5" s="4">
        <v>1339066.58</v>
      </c>
      <c r="I5" s="4"/>
      <c r="J5" s="4"/>
      <c r="K5" s="10">
        <f>G5-F5</f>
        <v>939.04000000003725</v>
      </c>
      <c r="L5" s="6">
        <v>1374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1290240.9600000512</v>
      </c>
      <c r="T5" s="6"/>
      <c r="U5" s="7" t="s">
        <v>12</v>
      </c>
      <c r="V5" s="15">
        <f>E18+E21</f>
        <v>15044.45000000007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1338162</v>
      </c>
      <c r="AI5" s="4">
        <v>1339101</v>
      </c>
      <c r="AJ5" s="4">
        <v>1339101</v>
      </c>
      <c r="AK5" s="4"/>
      <c r="AL5" s="4"/>
      <c r="AM5" s="10">
        <f>AI5-AH5</f>
        <v>939</v>
      </c>
      <c r="AN5" s="6">
        <v>1374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1290186</v>
      </c>
      <c r="AV5" s="6"/>
      <c r="AW5" s="7" t="s">
        <v>12</v>
      </c>
      <c r="AX5" s="15">
        <f>AG18+AG21</f>
        <v>15044</v>
      </c>
      <c r="AY5" s="15"/>
    </row>
    <row r="6" spans="1:51" x14ac:dyDescent="0.25">
      <c r="C6" s="2"/>
      <c r="D6" s="18" t="s">
        <v>14</v>
      </c>
      <c r="E6" s="3">
        <f>K6+M6+O6+Q6</f>
        <v>2361.7600000000093</v>
      </c>
      <c r="F6" s="4"/>
      <c r="G6" s="4"/>
      <c r="H6" s="4"/>
      <c r="I6" s="4"/>
      <c r="J6" s="4"/>
      <c r="K6" s="19">
        <f>SUM(K4:K5)</f>
        <v>2361.7600000000093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2362</v>
      </c>
      <c r="AH6" s="4"/>
      <c r="AI6" s="4"/>
      <c r="AJ6" s="4"/>
      <c r="AK6" s="4"/>
      <c r="AL6" s="4"/>
      <c r="AM6" s="19">
        <f>SUM(AM4:AM5)</f>
        <v>2362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715811.12</v>
      </c>
      <c r="G7" s="4">
        <v>716345.59</v>
      </c>
      <c r="H7" s="4">
        <v>716345.59</v>
      </c>
      <c r="I7" s="4"/>
      <c r="J7" s="4"/>
      <c r="K7" s="10">
        <f>G7-F7</f>
        <v>534.46999999997206</v>
      </c>
      <c r="L7" s="6">
        <v>1374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734361.77999996161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715853</v>
      </c>
      <c r="AI7" s="4">
        <v>716387</v>
      </c>
      <c r="AJ7" s="4">
        <v>716387</v>
      </c>
      <c r="AK7" s="4"/>
      <c r="AL7" s="4"/>
      <c r="AM7" s="10">
        <f>AI7-AH7</f>
        <v>534</v>
      </c>
      <c r="AN7" s="6">
        <v>1374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733716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1116217.3999999999</v>
      </c>
      <c r="G8" s="6">
        <v>1117381.83</v>
      </c>
      <c r="H8" s="6">
        <v>1117381.83</v>
      </c>
      <c r="I8" s="6"/>
      <c r="J8" s="6"/>
      <c r="K8" s="10">
        <f>G8-F8</f>
        <v>1164.4300000001676</v>
      </c>
      <c r="L8" s="6">
        <v>1374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1599926.8200002303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1116260</v>
      </c>
      <c r="AI8" s="6">
        <v>1117424</v>
      </c>
      <c r="AJ8" s="6">
        <v>1117424</v>
      </c>
      <c r="AK8" s="6"/>
      <c r="AL8" s="6"/>
      <c r="AM8" s="10">
        <f>AI8-AH8</f>
        <v>1164</v>
      </c>
      <c r="AN8" s="6">
        <v>1374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1599336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1698.9000000001397</v>
      </c>
      <c r="F9" s="4"/>
      <c r="G9" s="4"/>
      <c r="H9" s="4"/>
      <c r="I9" s="4"/>
      <c r="J9" s="4"/>
      <c r="K9" s="19">
        <f>SUM(K7:K8)</f>
        <v>1698.9000000001397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1698</v>
      </c>
      <c r="AH9" s="4"/>
      <c r="AI9" s="4"/>
      <c r="AJ9" s="4"/>
      <c r="AK9" s="4"/>
      <c r="AL9" s="4"/>
      <c r="AM9" s="19">
        <f>SUM(AM7:AM8)</f>
        <v>1698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603046.01</v>
      </c>
      <c r="G10" s="6">
        <v>603046.01</v>
      </c>
      <c r="H10" s="6">
        <v>603046.01</v>
      </c>
      <c r="I10" s="6"/>
      <c r="J10" s="6"/>
      <c r="K10" s="10">
        <f>G10-F10</f>
        <v>0</v>
      </c>
      <c r="L10" s="6">
        <v>1374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0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603052</v>
      </c>
      <c r="AI10" s="6">
        <v>603052</v>
      </c>
      <c r="AJ10" s="6">
        <v>603052</v>
      </c>
      <c r="AK10" s="6"/>
      <c r="AL10" s="6"/>
      <c r="AM10" s="10">
        <f>AI10-AH10</f>
        <v>0</v>
      </c>
      <c r="AN10" s="6">
        <v>1374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947408.58</v>
      </c>
      <c r="G11" s="6">
        <v>948158.71</v>
      </c>
      <c r="H11" s="6">
        <v>948158.71</v>
      </c>
      <c r="I11" s="6"/>
      <c r="J11" s="6"/>
      <c r="K11" s="10">
        <f>G11-F11</f>
        <v>750.13000000000466</v>
      </c>
      <c r="L11" s="6">
        <v>1374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1030678.6200000064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947450</v>
      </c>
      <c r="AI11" s="6">
        <v>948200</v>
      </c>
      <c r="AJ11" s="6">
        <v>948200</v>
      </c>
      <c r="AK11" s="6"/>
      <c r="AL11" s="6"/>
      <c r="AM11" s="10">
        <f>AI11-AH11</f>
        <v>750</v>
      </c>
      <c r="AN11" s="6">
        <v>1374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1030500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750.13000000000466</v>
      </c>
      <c r="F12" s="4"/>
      <c r="G12" s="4"/>
      <c r="H12" s="4"/>
      <c r="I12" s="4"/>
      <c r="J12" s="4"/>
      <c r="K12" s="19">
        <f>SUM(K10:K11)</f>
        <v>750.13000000000466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750</v>
      </c>
      <c r="AH12" s="4"/>
      <c r="AI12" s="4"/>
      <c r="AJ12" s="4"/>
      <c r="AK12" s="4"/>
      <c r="AL12" s="4"/>
      <c r="AM12" s="19">
        <f>SUM(AM10:AM11)</f>
        <v>750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532926.5</v>
      </c>
      <c r="G13" s="6">
        <v>533314.97</v>
      </c>
      <c r="H13" s="6">
        <v>533314.97</v>
      </c>
      <c r="I13" s="6"/>
      <c r="J13" s="6"/>
      <c r="K13" s="10">
        <f>G13-F13</f>
        <v>388.46999999997206</v>
      </c>
      <c r="L13" s="6">
        <v>1374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533757.77999996161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532968</v>
      </c>
      <c r="AI13" s="6">
        <v>533357</v>
      </c>
      <c r="AJ13" s="6">
        <v>533357</v>
      </c>
      <c r="AK13" s="6"/>
      <c r="AL13" s="6"/>
      <c r="AM13" s="10">
        <f>AI13-AH13</f>
        <v>389</v>
      </c>
      <c r="AN13" s="6">
        <v>1374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534486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937202.5</v>
      </c>
      <c r="G14" s="4">
        <v>938379.55</v>
      </c>
      <c r="H14" s="4">
        <v>938379.55</v>
      </c>
      <c r="I14" s="4"/>
      <c r="J14" s="4"/>
      <c r="K14" s="10">
        <f>G14-F14</f>
        <v>1177.0500000000466</v>
      </c>
      <c r="L14" s="6">
        <v>1374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1617266.700000064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937235</v>
      </c>
      <c r="AI14" s="4">
        <v>938412</v>
      </c>
      <c r="AJ14" s="4">
        <v>938412</v>
      </c>
      <c r="AK14" s="4"/>
      <c r="AL14" s="4"/>
      <c r="AM14" s="10">
        <f>AI14-AH14</f>
        <v>1177</v>
      </c>
      <c r="AN14" s="6">
        <v>1374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1617198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1565.5200000000186</v>
      </c>
      <c r="F15" s="4"/>
      <c r="G15" s="4"/>
      <c r="H15" s="4"/>
      <c r="I15" s="4"/>
      <c r="J15" s="4"/>
      <c r="K15" s="19">
        <f>SUM(K13:K14)</f>
        <v>1565.5200000000186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1566</v>
      </c>
      <c r="AH15" s="4"/>
      <c r="AI15" s="4"/>
      <c r="AJ15" s="4"/>
      <c r="AK15" s="4"/>
      <c r="AL15" s="4"/>
      <c r="AM15" s="19">
        <f>SUM(AM13:AM14)</f>
        <v>1566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718600.01</v>
      </c>
      <c r="G16" s="4">
        <v>723479.19</v>
      </c>
      <c r="H16" s="4">
        <v>723479.19</v>
      </c>
      <c r="I16" s="4"/>
      <c r="J16" s="4"/>
      <c r="K16" s="10">
        <f>G16-F16</f>
        <v>4879.1799999999348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9119187.4199998789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2072972</v>
      </c>
      <c r="AI16" s="4">
        <v>2077851</v>
      </c>
      <c r="AJ16" s="4">
        <v>2077851</v>
      </c>
      <c r="AK16" s="4"/>
      <c r="AL16" s="4"/>
      <c r="AM16" s="10">
        <f>AI16-AH16</f>
        <v>4879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9118851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715752.45</v>
      </c>
      <c r="G17" s="6">
        <v>718739.31</v>
      </c>
      <c r="H17" s="6">
        <v>718739.31</v>
      </c>
      <c r="I17" s="6"/>
      <c r="J17" s="6"/>
      <c r="K17" s="10">
        <f>G17-F17</f>
        <v>2986.8600000001024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5582441.3400001917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1749194</v>
      </c>
      <c r="AI17" s="6">
        <v>1752181</v>
      </c>
      <c r="AJ17" s="6">
        <v>1752181</v>
      </c>
      <c r="AK17" s="6"/>
      <c r="AL17" s="6"/>
      <c r="AM17" s="10">
        <f>AI17-AH17</f>
        <v>2987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5582703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7866.0400000000373</v>
      </c>
      <c r="F18" s="4"/>
      <c r="G18" s="4"/>
      <c r="H18" s="4"/>
      <c r="I18" s="4"/>
      <c r="J18" s="4"/>
      <c r="K18" s="19">
        <f>SUM(K16:K17)</f>
        <v>7866.0400000000373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7866</v>
      </c>
      <c r="AH18" s="4"/>
      <c r="AI18" s="4"/>
      <c r="AJ18" s="4"/>
      <c r="AK18" s="4"/>
      <c r="AL18" s="4"/>
      <c r="AM18" s="19">
        <f>SUM(AM16:AM17)</f>
        <v>7866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415316.1</v>
      </c>
      <c r="G19" s="6">
        <v>419391.7</v>
      </c>
      <c r="H19" s="6">
        <v>419391.7</v>
      </c>
      <c r="I19" s="6"/>
      <c r="J19" s="6"/>
      <c r="K19" s="10">
        <f t="shared" ref="K19:K20" si="8">G19-F19</f>
        <v>4075.6000000000349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7617296.4000000656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1255328</v>
      </c>
      <c r="AI19" s="6">
        <v>1259403</v>
      </c>
      <c r="AJ19" s="6">
        <v>1259403</v>
      </c>
      <c r="AK19" s="6"/>
      <c r="AL19" s="6"/>
      <c r="AM19" s="10">
        <f t="shared" ref="AM19:AM20" si="10">AI19-AH19</f>
        <v>4075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7616175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504011.73</v>
      </c>
      <c r="G20" s="6">
        <v>507114.54</v>
      </c>
      <c r="H20" s="6">
        <v>507114.54</v>
      </c>
      <c r="I20" s="6"/>
      <c r="J20" s="6"/>
      <c r="K20" s="10">
        <f t="shared" si="8"/>
        <v>3102.8099999999977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5799151.8899999959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1278540</v>
      </c>
      <c r="AI20" s="6">
        <v>1281643</v>
      </c>
      <c r="AJ20" s="6">
        <v>1281643</v>
      </c>
      <c r="AK20" s="6"/>
      <c r="AL20" s="6"/>
      <c r="AM20" s="10">
        <f t="shared" si="10"/>
        <v>3103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5799507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7178.4100000000326</v>
      </c>
      <c r="F21" s="4"/>
      <c r="G21" s="4"/>
      <c r="H21" s="4"/>
      <c r="I21" s="4"/>
      <c r="J21" s="4"/>
      <c r="K21" s="19">
        <f>SUM(K19:K20)</f>
        <v>7178.4100000000326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7178</v>
      </c>
      <c r="AH21" s="4"/>
      <c r="AI21" s="4"/>
      <c r="AJ21" s="4"/>
      <c r="AK21" s="4"/>
      <c r="AL21" s="4"/>
      <c r="AM21" s="19">
        <f>SUM(AM19:AM20)</f>
        <v>7178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35663.110000000452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36879126.990000367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35662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36877860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21000</v>
      </c>
      <c r="G25" s="38">
        <v>18950</v>
      </c>
      <c r="H25" s="39">
        <f t="shared" ref="H25:H30" si="12">F25+V8-G25</f>
        <v>2050</v>
      </c>
      <c r="I25" s="39">
        <f>E6-H25</f>
        <v>311.76000000000931</v>
      </c>
      <c r="J25" s="40">
        <f>E6*0.085</f>
        <v>200.74960000000081</v>
      </c>
      <c r="K25" s="40">
        <f t="shared" ref="K25:K30" si="13">I25-J25</f>
        <v>111.0104000000085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21000</v>
      </c>
      <c r="AI25" s="38">
        <v>18950</v>
      </c>
      <c r="AJ25" s="39">
        <f t="shared" ref="AJ25:AJ30" si="14">AH25+AX8-AI25</f>
        <v>2050</v>
      </c>
      <c r="AK25" s="39">
        <f>AG6-AJ25</f>
        <v>312</v>
      </c>
      <c r="AL25" s="40">
        <f>AG6*0.085</f>
        <v>200.77</v>
      </c>
      <c r="AM25" s="40">
        <f t="shared" ref="AM25:AM30" si="15">AK25-AL25</f>
        <v>111.22999999999999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11650</v>
      </c>
      <c r="G26" s="38">
        <v>10050</v>
      </c>
      <c r="H26" s="39">
        <f t="shared" si="12"/>
        <v>1600</v>
      </c>
      <c r="I26" s="39">
        <f>E9-H26</f>
        <v>98.900000000139698</v>
      </c>
      <c r="J26" s="40">
        <f>E9*0.085</f>
        <v>144.40650000001187</v>
      </c>
      <c r="K26" s="40">
        <f t="shared" si="13"/>
        <v>-45.506499999872176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11650</v>
      </c>
      <c r="AI26" s="38">
        <v>10050</v>
      </c>
      <c r="AJ26" s="39">
        <f t="shared" si="14"/>
        <v>1600</v>
      </c>
      <c r="AK26" s="39">
        <f>AG9-AJ26</f>
        <v>98</v>
      </c>
      <c r="AL26" s="40">
        <f>AG9*0.085</f>
        <v>144.33000000000001</v>
      </c>
      <c r="AM26" s="40">
        <f t="shared" si="15"/>
        <v>-46.330000000000013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15900</v>
      </c>
      <c r="G27" s="38">
        <v>15300</v>
      </c>
      <c r="H27" s="39">
        <f t="shared" si="12"/>
        <v>600</v>
      </c>
      <c r="I27" s="39">
        <f>E12-H27</f>
        <v>150.13000000000466</v>
      </c>
      <c r="J27" s="40">
        <f>E12*0.085</f>
        <v>63.761050000000402</v>
      </c>
      <c r="K27" s="40">
        <f t="shared" si="13"/>
        <v>86.368950000004247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15900</v>
      </c>
      <c r="AI27" s="38">
        <v>15300</v>
      </c>
      <c r="AJ27" s="39">
        <f t="shared" si="14"/>
        <v>600</v>
      </c>
      <c r="AK27" s="39">
        <f>AG12-AJ27</f>
        <v>150</v>
      </c>
      <c r="AL27" s="40">
        <f>AG12*0.085</f>
        <v>63.750000000000007</v>
      </c>
      <c r="AM27" s="40">
        <f t="shared" si="15"/>
        <v>86.25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19350</v>
      </c>
      <c r="G28" s="38">
        <v>18000</v>
      </c>
      <c r="H28" s="39">
        <f t="shared" si="12"/>
        <v>1350</v>
      </c>
      <c r="I28" s="39">
        <f>E15-H28</f>
        <v>215.52000000001863</v>
      </c>
      <c r="J28" s="40">
        <f>E15*0.085</f>
        <v>133.06920000000159</v>
      </c>
      <c r="K28" s="40">
        <f t="shared" si="13"/>
        <v>82.45080000001704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19350</v>
      </c>
      <c r="AI28" s="38">
        <v>18000</v>
      </c>
      <c r="AJ28" s="39">
        <f t="shared" si="14"/>
        <v>1350</v>
      </c>
      <c r="AK28" s="39">
        <f>AG15-AJ28</f>
        <v>216</v>
      </c>
      <c r="AL28" s="40">
        <f>AG15*0.085</f>
        <v>133.11000000000001</v>
      </c>
      <c r="AM28" s="40">
        <f t="shared" si="15"/>
        <v>82.889999999999986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37750</v>
      </c>
      <c r="G29" s="38">
        <v>30550</v>
      </c>
      <c r="H29" s="39">
        <f>F29+V12-G29</f>
        <v>7200</v>
      </c>
      <c r="I29" s="39">
        <f>E18-H29</f>
        <v>666.04000000003725</v>
      </c>
      <c r="J29" s="40">
        <f>E18*0.085</f>
        <v>668.61340000000325</v>
      </c>
      <c r="K29" s="40">
        <f t="shared" si="13"/>
        <v>-2.573399999966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37750</v>
      </c>
      <c r="AI29" s="38">
        <v>30550</v>
      </c>
      <c r="AJ29" s="39">
        <f t="shared" si="14"/>
        <v>7200</v>
      </c>
      <c r="AK29" s="39">
        <f>AG18-AJ29</f>
        <v>666</v>
      </c>
      <c r="AL29" s="40">
        <f>AG18*0.085</f>
        <v>668.61</v>
      </c>
      <c r="AM29" s="40">
        <f t="shared" si="15"/>
        <v>-2.6100000000000136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10150</v>
      </c>
      <c r="G30" s="38">
        <v>3450</v>
      </c>
      <c r="H30" s="39">
        <f t="shared" si="12"/>
        <v>6700</v>
      </c>
      <c r="I30" s="39">
        <f>E21-H30</f>
        <v>478.4100000000326</v>
      </c>
      <c r="J30" s="40">
        <f>E21*0.085</f>
        <v>610.16485000000284</v>
      </c>
      <c r="K30" s="40">
        <f t="shared" si="13"/>
        <v>-131.75484999997025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10150</v>
      </c>
      <c r="AI30" s="38">
        <v>3450</v>
      </c>
      <c r="AJ30" s="39">
        <f t="shared" si="14"/>
        <v>6700</v>
      </c>
      <c r="AK30" s="39">
        <f>AG21-AJ30</f>
        <v>478</v>
      </c>
      <c r="AL30" s="40">
        <f>AG21*0.085</f>
        <v>610.13</v>
      </c>
      <c r="AM30" s="40">
        <f t="shared" si="15"/>
        <v>-132.13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931765.6</v>
      </c>
      <c r="C33" s="16">
        <v>0</v>
      </c>
      <c r="D33" s="16">
        <v>0</v>
      </c>
      <c r="E33" s="16">
        <v>0</v>
      </c>
      <c r="F33" s="16">
        <v>819359.04</v>
      </c>
      <c r="G33" s="16">
        <v>3682567</v>
      </c>
      <c r="H33" s="49">
        <v>0</v>
      </c>
      <c r="I33" s="16">
        <v>287633</v>
      </c>
      <c r="J33" s="16">
        <v>15153288.74</v>
      </c>
      <c r="K33" s="16">
        <v>691123.78</v>
      </c>
      <c r="L33" s="16">
        <v>109900</v>
      </c>
      <c r="M33" s="16">
        <v>2051502</v>
      </c>
      <c r="N33" s="16">
        <v>0</v>
      </c>
      <c r="O33" s="16">
        <v>340714.58</v>
      </c>
      <c r="P33" s="16">
        <v>0</v>
      </c>
      <c r="Q33" s="16">
        <v>373040</v>
      </c>
      <c r="R33" s="49">
        <v>0</v>
      </c>
      <c r="S33" s="16">
        <v>0</v>
      </c>
      <c r="T33" s="16">
        <v>26015606.140000001</v>
      </c>
      <c r="U33" s="42">
        <f>SUM(S22-A33-B33-W27-C33-D33-E33-F33-G33-H33-I33-J33-K33-L33-M33-N33-O33-P33-Q33-R33-J35-K35-L35-M35-N35-O35-P35-Q35-S33+T33)</f>
        <v>36733149.930000365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1250140</v>
      </c>
      <c r="K35" s="16"/>
      <c r="L35" s="16">
        <v>0</v>
      </c>
      <c r="M35" s="16">
        <v>0</v>
      </c>
      <c r="N35" s="16">
        <v>470549.46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F14" workbookViewId="0">
      <selection activeCell="M36" sqref="M36"/>
    </sheetView>
  </sheetViews>
  <sheetFormatPr defaultRowHeight="15" x14ac:dyDescent="0.25"/>
  <cols>
    <col min="1" max="1" width="9.7109375" bestFit="1" customWidth="1"/>
    <col min="5" max="5" width="10" bestFit="1" customWidth="1"/>
    <col min="7" max="8" width="10" bestFit="1" customWidth="1"/>
    <col min="10" max="11" width="10.85546875" bestFit="1" customWidth="1"/>
    <col min="13" max="13" width="10.85546875" bestFit="1" customWidth="1"/>
    <col min="14" max="18" width="10" bestFit="1" customWidth="1"/>
    <col min="19" max="19" width="12" bestFit="1" customWidth="1"/>
    <col min="20" max="20" width="10.85546875" bestFit="1" customWidth="1"/>
    <col min="21" max="21" width="16.140625" customWidth="1"/>
  </cols>
  <sheetData>
    <row r="1" spans="1:51" x14ac:dyDescent="0.25">
      <c r="A1" s="1">
        <v>46280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1050929.27</v>
      </c>
      <c r="G4" s="4">
        <v>1051591.1499999999</v>
      </c>
      <c r="H4" s="4">
        <v>1051591.1499999999</v>
      </c>
      <c r="I4" s="4"/>
      <c r="J4" s="4"/>
      <c r="K4" s="10">
        <f>G4-F4</f>
        <v>661.87999999988824</v>
      </c>
      <c r="L4" s="6">
        <v>1374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909423.11999984644</v>
      </c>
      <c r="T4" s="6"/>
      <c r="U4" s="7" t="s">
        <v>9</v>
      </c>
      <c r="V4" s="11">
        <f>E6+E9+E12+E15</f>
        <v>7896.9299999999348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1050957</v>
      </c>
      <c r="AI4" s="4">
        <v>1051618</v>
      </c>
      <c r="AJ4" s="4">
        <v>1051618</v>
      </c>
      <c r="AK4" s="4"/>
      <c r="AL4" s="4"/>
      <c r="AM4" s="10">
        <f>AI4-AH4</f>
        <v>661</v>
      </c>
      <c r="AN4" s="6">
        <v>1374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908214</v>
      </c>
      <c r="AV4" s="6"/>
      <c r="AW4" s="7" t="s">
        <v>9</v>
      </c>
      <c r="AX4" s="11">
        <f>AG6+AG9+AG12+AG15</f>
        <v>7895</v>
      </c>
      <c r="AY4" s="11"/>
    </row>
    <row r="5" spans="1:51" x14ac:dyDescent="0.25">
      <c r="C5" s="2"/>
      <c r="D5" s="4"/>
      <c r="E5" s="4" t="s">
        <v>11</v>
      </c>
      <c r="F5" s="4">
        <v>1339066.58</v>
      </c>
      <c r="G5" s="4">
        <v>1340671.8</v>
      </c>
      <c r="H5" s="4">
        <v>1340671.8</v>
      </c>
      <c r="I5" s="4"/>
      <c r="J5" s="4"/>
      <c r="K5" s="10">
        <f>G5-F5</f>
        <v>1605.2199999999721</v>
      </c>
      <c r="L5" s="6">
        <v>1374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2205572.2799999616</v>
      </c>
      <c r="T5" s="6"/>
      <c r="U5" s="7" t="s">
        <v>12</v>
      </c>
      <c r="V5" s="15">
        <f>E18+E21</f>
        <v>13264.799999999988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1339101</v>
      </c>
      <c r="AI5" s="4">
        <v>1340706</v>
      </c>
      <c r="AJ5" s="4">
        <v>1340706</v>
      </c>
      <c r="AK5" s="4"/>
      <c r="AL5" s="4"/>
      <c r="AM5" s="10">
        <f>AI5-AH5</f>
        <v>1605</v>
      </c>
      <c r="AN5" s="6">
        <v>1374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2205270</v>
      </c>
      <c r="AV5" s="6"/>
      <c r="AW5" s="7" t="s">
        <v>12</v>
      </c>
      <c r="AX5" s="15">
        <f>AG18+AG21</f>
        <v>13266</v>
      </c>
      <c r="AY5" s="15"/>
    </row>
    <row r="6" spans="1:51" x14ac:dyDescent="0.25">
      <c r="C6" s="2"/>
      <c r="D6" s="18" t="s">
        <v>14</v>
      </c>
      <c r="E6" s="3">
        <f>K6+M6+O6+Q6</f>
        <v>2267.0999999998603</v>
      </c>
      <c r="F6" s="4"/>
      <c r="G6" s="4"/>
      <c r="H6" s="4"/>
      <c r="I6" s="4"/>
      <c r="J6" s="4"/>
      <c r="K6" s="19">
        <f>SUM(K4:K5)</f>
        <v>2267.0999999998603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2266</v>
      </c>
      <c r="AH6" s="4"/>
      <c r="AI6" s="4"/>
      <c r="AJ6" s="4"/>
      <c r="AK6" s="4"/>
      <c r="AL6" s="4"/>
      <c r="AM6" s="19">
        <f>SUM(AM4:AM5)</f>
        <v>2266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716345.59</v>
      </c>
      <c r="G7" s="4">
        <v>717434.13</v>
      </c>
      <c r="H7" s="4">
        <v>717434.13</v>
      </c>
      <c r="I7" s="4"/>
      <c r="J7" s="4"/>
      <c r="K7" s="10">
        <f>G7-F7</f>
        <v>1088.5400000000373</v>
      </c>
      <c r="L7" s="6">
        <v>1374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1495653.9600000512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716387</v>
      </c>
      <c r="AI7" s="4">
        <v>717476</v>
      </c>
      <c r="AJ7" s="4">
        <v>717476</v>
      </c>
      <c r="AK7" s="4"/>
      <c r="AL7" s="4"/>
      <c r="AM7" s="10">
        <f>AI7-AH7</f>
        <v>1089</v>
      </c>
      <c r="AN7" s="6">
        <v>1374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1496286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1117381.83</v>
      </c>
      <c r="G8" s="6">
        <v>1118297.04</v>
      </c>
      <c r="H8" s="6">
        <v>1118297.04</v>
      </c>
      <c r="I8" s="6"/>
      <c r="J8" s="6"/>
      <c r="K8" s="10">
        <f>G8-F8</f>
        <v>915.20999999996275</v>
      </c>
      <c r="L8" s="6">
        <v>1374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1257498.5399999488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1117424</v>
      </c>
      <c r="AI8" s="6">
        <v>1118339</v>
      </c>
      <c r="AJ8" s="6">
        <v>1118339</v>
      </c>
      <c r="AK8" s="6"/>
      <c r="AL8" s="6"/>
      <c r="AM8" s="10">
        <f>AI8-AH8</f>
        <v>915</v>
      </c>
      <c r="AN8" s="6">
        <v>1374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1257210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2003.75</v>
      </c>
      <c r="F9" s="4"/>
      <c r="G9" s="4"/>
      <c r="H9" s="4"/>
      <c r="I9" s="4"/>
      <c r="J9" s="4"/>
      <c r="K9" s="19">
        <f>SUM(K7:K8)</f>
        <v>2003.75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2004</v>
      </c>
      <c r="AH9" s="4"/>
      <c r="AI9" s="4"/>
      <c r="AJ9" s="4"/>
      <c r="AK9" s="4"/>
      <c r="AL9" s="4"/>
      <c r="AM9" s="19">
        <f>SUM(AM7:AM8)</f>
        <v>2004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603046.01</v>
      </c>
      <c r="G10" s="6">
        <v>603853.64</v>
      </c>
      <c r="H10" s="6">
        <v>603853.64</v>
      </c>
      <c r="I10" s="6"/>
      <c r="J10" s="6"/>
      <c r="K10" s="10">
        <f>G10-F10</f>
        <v>807.63000000000466</v>
      </c>
      <c r="L10" s="6">
        <v>1374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1109683.6200000064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603052</v>
      </c>
      <c r="AI10" s="6">
        <v>603859</v>
      </c>
      <c r="AJ10" s="6">
        <v>603859</v>
      </c>
      <c r="AK10" s="6"/>
      <c r="AL10" s="6"/>
      <c r="AM10" s="10">
        <f>AI10-AH10</f>
        <v>807</v>
      </c>
      <c r="AN10" s="6">
        <v>1374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1108818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948158.71</v>
      </c>
      <c r="G11" s="6">
        <v>949616.47</v>
      </c>
      <c r="H11" s="6">
        <v>949616.47</v>
      </c>
      <c r="I11" s="6"/>
      <c r="J11" s="6"/>
      <c r="K11" s="10">
        <f>G11-F11</f>
        <v>1457.7600000000093</v>
      </c>
      <c r="L11" s="6">
        <v>1374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2002962.2400000128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948200</v>
      </c>
      <c r="AI11" s="6">
        <v>949658</v>
      </c>
      <c r="AJ11" s="6">
        <v>949658</v>
      </c>
      <c r="AK11" s="6"/>
      <c r="AL11" s="6"/>
      <c r="AM11" s="10">
        <f>AI11-AH11</f>
        <v>1458</v>
      </c>
      <c r="AN11" s="6">
        <v>1374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2003292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2265.390000000014</v>
      </c>
      <c r="F12" s="4"/>
      <c r="G12" s="4"/>
      <c r="H12" s="4"/>
      <c r="I12" s="4"/>
      <c r="J12" s="4"/>
      <c r="K12" s="19">
        <f>SUM(K10:K11)</f>
        <v>2265.390000000014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>
        <v>24450</v>
      </c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2265</v>
      </c>
      <c r="AH12" s="4"/>
      <c r="AI12" s="4"/>
      <c r="AJ12" s="4"/>
      <c r="AK12" s="4"/>
      <c r="AL12" s="4"/>
      <c r="AM12" s="19">
        <f>SUM(AM10:AM11)</f>
        <v>2265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>
        <v>24450</v>
      </c>
      <c r="AY12" s="23"/>
    </row>
    <row r="13" spans="1:51" x14ac:dyDescent="0.25">
      <c r="C13" s="2"/>
      <c r="D13" s="2"/>
      <c r="E13" s="4" t="s">
        <v>26</v>
      </c>
      <c r="F13" s="6">
        <v>533314.97</v>
      </c>
      <c r="G13" s="6">
        <v>533669.04</v>
      </c>
      <c r="H13" s="6">
        <v>533669.04</v>
      </c>
      <c r="I13" s="6"/>
      <c r="J13" s="6"/>
      <c r="K13" s="10">
        <f>G13-F13</f>
        <v>354.07000000006519</v>
      </c>
      <c r="L13" s="6">
        <v>1374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486492.18000008957</v>
      </c>
      <c r="T13" s="6"/>
      <c r="U13" s="7" t="s">
        <v>27</v>
      </c>
      <c r="V13" s="23">
        <v>20650</v>
      </c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533357</v>
      </c>
      <c r="AI13" s="6">
        <v>533711</v>
      </c>
      <c r="AJ13" s="6">
        <v>533711</v>
      </c>
      <c r="AK13" s="6"/>
      <c r="AL13" s="6"/>
      <c r="AM13" s="10">
        <f>AI13-AH13</f>
        <v>354</v>
      </c>
      <c r="AN13" s="6">
        <v>1374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486396</v>
      </c>
      <c r="AV13" s="6"/>
      <c r="AW13" s="7" t="s">
        <v>27</v>
      </c>
      <c r="AX13" s="23">
        <v>20650</v>
      </c>
      <c r="AY13" s="23"/>
    </row>
    <row r="14" spans="1:51" x14ac:dyDescent="0.25">
      <c r="C14" s="2"/>
      <c r="D14" s="18"/>
      <c r="E14" s="4" t="s">
        <v>28</v>
      </c>
      <c r="F14" s="4">
        <v>938379.55</v>
      </c>
      <c r="G14" s="4">
        <v>939386.17</v>
      </c>
      <c r="H14" s="4">
        <v>939386.17</v>
      </c>
      <c r="I14" s="4"/>
      <c r="J14" s="4"/>
      <c r="K14" s="10">
        <f>G14-F14</f>
        <v>1006.6199999999953</v>
      </c>
      <c r="L14" s="6">
        <v>1374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1383095.8799999936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938412</v>
      </c>
      <c r="AI14" s="4">
        <v>939418</v>
      </c>
      <c r="AJ14" s="4">
        <v>939418</v>
      </c>
      <c r="AK14" s="4"/>
      <c r="AL14" s="4"/>
      <c r="AM14" s="10">
        <f>AI14-AH14</f>
        <v>1006</v>
      </c>
      <c r="AN14" s="6">
        <v>1374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1382244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1360.6900000000605</v>
      </c>
      <c r="F15" s="4"/>
      <c r="G15" s="4"/>
      <c r="H15" s="4"/>
      <c r="I15" s="4"/>
      <c r="J15" s="4"/>
      <c r="K15" s="19">
        <f>SUM(K13:K14)</f>
        <v>1360.6900000000605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1360</v>
      </c>
      <c r="AH15" s="4"/>
      <c r="AI15" s="4"/>
      <c r="AJ15" s="4"/>
      <c r="AK15" s="4"/>
      <c r="AL15" s="4"/>
      <c r="AM15" s="19">
        <f>SUM(AM13:AM14)</f>
        <v>1360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723479.19</v>
      </c>
      <c r="G16" s="4">
        <v>726888.26</v>
      </c>
      <c r="H16" s="4">
        <v>726888.26</v>
      </c>
      <c r="I16" s="4"/>
      <c r="J16" s="4"/>
      <c r="K16" s="10">
        <f>G16-F16</f>
        <v>3409.0700000000652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6371551.8300001221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2077851</v>
      </c>
      <c r="AI16" s="4">
        <v>2081260</v>
      </c>
      <c r="AJ16" s="4">
        <v>2081260</v>
      </c>
      <c r="AK16" s="4"/>
      <c r="AL16" s="4"/>
      <c r="AM16" s="10">
        <f>AI16-AH16</f>
        <v>3409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6371421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718739.31</v>
      </c>
      <c r="G17" s="6">
        <v>723187.11</v>
      </c>
      <c r="H17" s="6">
        <v>723187.11</v>
      </c>
      <c r="I17" s="6"/>
      <c r="J17" s="6"/>
      <c r="K17" s="10">
        <f>G17-F17</f>
        <v>4447.7999999999302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8312938.1999998698</v>
      </c>
      <c r="T17" s="2"/>
      <c r="U17" s="4" t="s">
        <v>74</v>
      </c>
      <c r="V17" s="4"/>
      <c r="W17" s="33">
        <v>57939</v>
      </c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1752181</v>
      </c>
      <c r="AI17" s="6">
        <v>1756629</v>
      </c>
      <c r="AJ17" s="6">
        <v>1756629</v>
      </c>
      <c r="AK17" s="6"/>
      <c r="AL17" s="6"/>
      <c r="AM17" s="10">
        <f>AI17-AH17</f>
        <v>4448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8313312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7856.8699999999953</v>
      </c>
      <c r="F18" s="4"/>
      <c r="G18" s="4"/>
      <c r="H18" s="4"/>
      <c r="I18" s="4"/>
      <c r="J18" s="4"/>
      <c r="K18" s="19">
        <f>SUM(K16:K17)</f>
        <v>7856.8699999999953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7857</v>
      </c>
      <c r="AH18" s="4"/>
      <c r="AI18" s="4"/>
      <c r="AJ18" s="4"/>
      <c r="AK18" s="4"/>
      <c r="AL18" s="4"/>
      <c r="AM18" s="19">
        <f>SUM(AM16:AM17)</f>
        <v>7857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419391.7</v>
      </c>
      <c r="G19" s="6">
        <v>422450.11</v>
      </c>
      <c r="H19" s="6">
        <v>422450.11</v>
      </c>
      <c r="I19" s="6"/>
      <c r="J19" s="6"/>
      <c r="K19" s="10">
        <f t="shared" ref="K19:K20" si="8">G19-F19</f>
        <v>3058.4099999999744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5716168.2899999525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1259403</v>
      </c>
      <c r="AI19" s="6">
        <v>1262462</v>
      </c>
      <c r="AJ19" s="6">
        <v>1262462</v>
      </c>
      <c r="AK19" s="6"/>
      <c r="AL19" s="6"/>
      <c r="AM19" s="10">
        <f t="shared" ref="AM19:AM20" si="10">AI19-AH19</f>
        <v>3059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5717271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507114.54</v>
      </c>
      <c r="G20" s="6">
        <v>509464.06</v>
      </c>
      <c r="H20" s="6">
        <v>509464.06</v>
      </c>
      <c r="I20" s="6"/>
      <c r="J20" s="6"/>
      <c r="K20" s="10">
        <f t="shared" si="8"/>
        <v>2349.5200000000186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4391252.8800000343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1281643</v>
      </c>
      <c r="AI20" s="6">
        <v>1283993</v>
      </c>
      <c r="AJ20" s="6">
        <v>1283993</v>
      </c>
      <c r="AK20" s="6"/>
      <c r="AL20" s="6"/>
      <c r="AM20" s="10">
        <f t="shared" si="10"/>
        <v>2350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4392150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5407.929999999993</v>
      </c>
      <c r="F21" s="4"/>
      <c r="G21" s="4"/>
      <c r="H21" s="4"/>
      <c r="I21" s="4"/>
      <c r="J21" s="4"/>
      <c r="K21" s="19">
        <f>SUM(K19:K20)</f>
        <v>5407.929999999993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5409</v>
      </c>
      <c r="AH21" s="4"/>
      <c r="AI21" s="4"/>
      <c r="AJ21" s="4"/>
      <c r="AK21" s="4"/>
      <c r="AL21" s="4"/>
      <c r="AM21" s="19">
        <f>SUM(AM19:AM20)</f>
        <v>5409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36915.529999999853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35642293.019999884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36913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35641884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18950</v>
      </c>
      <c r="G25" s="38">
        <v>16650</v>
      </c>
      <c r="H25" s="39">
        <f t="shared" ref="H25:H30" si="12">F25+V8-G25</f>
        <v>2300</v>
      </c>
      <c r="I25" s="39">
        <f>E6-H25</f>
        <v>-32.900000000139698</v>
      </c>
      <c r="J25" s="40">
        <f>E6*0.085</f>
        <v>192.70349999998814</v>
      </c>
      <c r="K25" s="40">
        <f t="shared" ref="K25:K30" si="13">I25-J25</f>
        <v>-225.60350000012784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18950</v>
      </c>
      <c r="AI25" s="38">
        <v>16650</v>
      </c>
      <c r="AJ25" s="39">
        <f t="shared" ref="AJ25:AJ30" si="14">AH25+AX8-AI25</f>
        <v>2300</v>
      </c>
      <c r="AK25" s="39">
        <f>AG6-AJ25</f>
        <v>-34</v>
      </c>
      <c r="AL25" s="40">
        <f>AG6*0.085</f>
        <v>192.61</v>
      </c>
      <c r="AM25" s="40">
        <f t="shared" ref="AM25:AM30" si="15">AK25-AL25</f>
        <v>-226.61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10050</v>
      </c>
      <c r="G26" s="38">
        <v>8050</v>
      </c>
      <c r="H26" s="39">
        <f t="shared" si="12"/>
        <v>2000</v>
      </c>
      <c r="I26" s="39">
        <f>E9-H26</f>
        <v>3.75</v>
      </c>
      <c r="J26" s="40">
        <f>E9*0.085</f>
        <v>170.31875000000002</v>
      </c>
      <c r="K26" s="40">
        <f t="shared" si="13"/>
        <v>-166.56875000000002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10050</v>
      </c>
      <c r="AI26" s="38">
        <v>8050</v>
      </c>
      <c r="AJ26" s="39">
        <f t="shared" si="14"/>
        <v>2000</v>
      </c>
      <c r="AK26" s="39">
        <f>AG9-AJ26</f>
        <v>4</v>
      </c>
      <c r="AL26" s="40">
        <f>AG9*0.085</f>
        <v>170.34</v>
      </c>
      <c r="AM26" s="40">
        <f t="shared" si="15"/>
        <v>-166.34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15300</v>
      </c>
      <c r="G27" s="38">
        <v>13100</v>
      </c>
      <c r="H27" s="39">
        <f t="shared" si="12"/>
        <v>2200</v>
      </c>
      <c r="I27" s="39">
        <f>E12-H27</f>
        <v>65.39000000001397</v>
      </c>
      <c r="J27" s="40">
        <f>E12*0.085</f>
        <v>192.55815000000121</v>
      </c>
      <c r="K27" s="40">
        <f t="shared" si="13"/>
        <v>-127.16814999998724</v>
      </c>
      <c r="L27" s="6"/>
      <c r="N27" s="22"/>
      <c r="O27" s="22"/>
      <c r="P27" s="22"/>
      <c r="U27" s="41" t="s">
        <v>30</v>
      </c>
      <c r="W27" s="42">
        <f>SUM(W17:W26)</f>
        <v>57939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15300</v>
      </c>
      <c r="AI27" s="38">
        <v>13100</v>
      </c>
      <c r="AJ27" s="39">
        <f t="shared" si="14"/>
        <v>2200</v>
      </c>
      <c r="AK27" s="39">
        <f>AG12-AJ27</f>
        <v>65</v>
      </c>
      <c r="AL27" s="40">
        <f>AG12*0.085</f>
        <v>192.52500000000001</v>
      </c>
      <c r="AM27" s="40">
        <f t="shared" si="15"/>
        <v>-127.52500000000001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18000</v>
      </c>
      <c r="G28" s="38">
        <v>16550</v>
      </c>
      <c r="H28" s="39">
        <f t="shared" si="12"/>
        <v>1450</v>
      </c>
      <c r="I28" s="39">
        <f>E15-H28</f>
        <v>-89.309999999939464</v>
      </c>
      <c r="J28" s="40">
        <f>E15*0.085</f>
        <v>115.65865000000515</v>
      </c>
      <c r="K28" s="40">
        <f t="shared" si="13"/>
        <v>-204.9686499999446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18000</v>
      </c>
      <c r="AI28" s="38">
        <v>16550</v>
      </c>
      <c r="AJ28" s="39">
        <f t="shared" si="14"/>
        <v>1450</v>
      </c>
      <c r="AK28" s="39">
        <f>AG15-AJ28</f>
        <v>-90</v>
      </c>
      <c r="AL28" s="40">
        <f>AG15*0.085</f>
        <v>115.60000000000001</v>
      </c>
      <c r="AM28" s="40">
        <f t="shared" si="15"/>
        <v>-205.60000000000002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30550</v>
      </c>
      <c r="G29" s="38">
        <v>47750</v>
      </c>
      <c r="H29" s="39">
        <f>F29+V12-G29</f>
        <v>7250</v>
      </c>
      <c r="I29" s="39">
        <f>E18-H29</f>
        <v>606.86999999999534</v>
      </c>
      <c r="J29" s="40">
        <f>E18*0.085</f>
        <v>667.83394999999962</v>
      </c>
      <c r="K29" s="40">
        <f t="shared" si="13"/>
        <v>-60.963950000004274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30550</v>
      </c>
      <c r="AI29" s="38">
        <v>47750</v>
      </c>
      <c r="AJ29" s="39">
        <f t="shared" si="14"/>
        <v>7250</v>
      </c>
      <c r="AK29" s="39">
        <f>AG18-AJ29</f>
        <v>607</v>
      </c>
      <c r="AL29" s="40">
        <f>AG18*0.085</f>
        <v>667.84500000000003</v>
      </c>
      <c r="AM29" s="40">
        <f t="shared" si="15"/>
        <v>-60.845000000000027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3450</v>
      </c>
      <c r="G30" s="38">
        <v>19000</v>
      </c>
      <c r="H30" s="39">
        <f t="shared" si="12"/>
        <v>5100</v>
      </c>
      <c r="I30" s="39">
        <f>E21-H30</f>
        <v>307.92999999999302</v>
      </c>
      <c r="J30" s="40">
        <f>E21*0.085</f>
        <v>459.67404999999945</v>
      </c>
      <c r="K30" s="40">
        <f t="shared" si="13"/>
        <v>-151.74405000000644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3450</v>
      </c>
      <c r="AI30" s="38">
        <v>19000</v>
      </c>
      <c r="AJ30" s="39">
        <f t="shared" si="14"/>
        <v>5100</v>
      </c>
      <c r="AK30" s="39">
        <f>AG21-AJ30</f>
        <v>309</v>
      </c>
      <c r="AL30" s="40">
        <f>AG21*0.085</f>
        <v>459.76500000000004</v>
      </c>
      <c r="AM30" s="40">
        <f t="shared" si="15"/>
        <v>-150.76500000000004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0</v>
      </c>
      <c r="C33" s="16">
        <v>0</v>
      </c>
      <c r="D33" s="16">
        <v>0</v>
      </c>
      <c r="E33" s="16">
        <v>159272</v>
      </c>
      <c r="F33" s="16">
        <v>0</v>
      </c>
      <c r="G33" s="16">
        <v>0</v>
      </c>
      <c r="H33" s="49">
        <v>0</v>
      </c>
      <c r="I33" s="16">
        <v>0</v>
      </c>
      <c r="J33" s="16">
        <v>26579242</v>
      </c>
      <c r="K33" s="16">
        <v>0</v>
      </c>
      <c r="L33" s="16">
        <v>367500</v>
      </c>
      <c r="M33" s="16">
        <v>21531662.32</v>
      </c>
      <c r="N33" s="16">
        <v>1017419</v>
      </c>
      <c r="O33" s="16">
        <v>0</v>
      </c>
      <c r="P33" s="16">
        <v>2671290</v>
      </c>
      <c r="Q33" s="16">
        <v>0</v>
      </c>
      <c r="R33" s="49">
        <v>4954673</v>
      </c>
      <c r="S33" s="16">
        <v>0</v>
      </c>
      <c r="T33" s="16">
        <v>36733149.93</v>
      </c>
      <c r="U33" s="42">
        <f>SUM(S22-A33-B33-W27-C33-D33-E33-F33-G33-H33-I33-J33-K33-L33-M33-N33-O33-P33-Q33-R33-J35-K35-L35-M35-N35-O35-P35-Q35-S33+T33)</f>
        <v>11089190.229999885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1060456</v>
      </c>
      <c r="N35" s="16">
        <v>0</v>
      </c>
      <c r="O35" s="16">
        <v>1611890</v>
      </c>
      <c r="P35" s="16">
        <v>363808.4</v>
      </c>
      <c r="Q35" s="16">
        <v>911101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A13" workbookViewId="0">
      <selection activeCell="A35" sqref="A35"/>
    </sheetView>
  </sheetViews>
  <sheetFormatPr defaultRowHeight="15" x14ac:dyDescent="0.25"/>
  <cols>
    <col min="1" max="1" width="9.7109375" bestFit="1" customWidth="1"/>
    <col min="5" max="5" width="10" bestFit="1" customWidth="1"/>
    <col min="7" max="8" width="10" bestFit="1" customWidth="1"/>
    <col min="10" max="11" width="10.85546875" bestFit="1" customWidth="1"/>
    <col min="13" max="13" width="10.85546875" bestFit="1" customWidth="1"/>
    <col min="14" max="18" width="10" bestFit="1" customWidth="1"/>
    <col min="19" max="19" width="12" bestFit="1" customWidth="1"/>
    <col min="20" max="20" width="10.85546875" bestFit="1" customWidth="1"/>
    <col min="21" max="21" width="16.140625" customWidth="1"/>
  </cols>
  <sheetData>
    <row r="1" spans="1:51" x14ac:dyDescent="0.25">
      <c r="A1" s="1">
        <v>46281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1051591.1499999999</v>
      </c>
      <c r="G4" s="4">
        <v>1052630.7</v>
      </c>
      <c r="H4" s="4">
        <v>1052630.7</v>
      </c>
      <c r="I4" s="4"/>
      <c r="J4" s="4"/>
      <c r="K4" s="10">
        <f>G4-F4</f>
        <v>1039.5500000000466</v>
      </c>
      <c r="L4" s="6">
        <v>1374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1428341.700000064</v>
      </c>
      <c r="T4" s="6"/>
      <c r="U4" s="7" t="s">
        <v>9</v>
      </c>
      <c r="V4" s="11">
        <f>E6+E9+E12+E15</f>
        <v>6702.7099999999627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1051618</v>
      </c>
      <c r="AI4" s="4">
        <v>1052658</v>
      </c>
      <c r="AJ4" s="4">
        <v>1052658</v>
      </c>
      <c r="AK4" s="4"/>
      <c r="AL4" s="4"/>
      <c r="AM4" s="10">
        <f>AI4-AH4</f>
        <v>1040</v>
      </c>
      <c r="AN4" s="6">
        <v>1374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1428960</v>
      </c>
      <c r="AV4" s="6"/>
      <c r="AW4" s="7" t="s">
        <v>9</v>
      </c>
      <c r="AX4" s="11">
        <f>AG6+AG9+AG12+AG15</f>
        <v>6703</v>
      </c>
      <c r="AY4" s="11"/>
    </row>
    <row r="5" spans="1:51" x14ac:dyDescent="0.25">
      <c r="C5" s="2"/>
      <c r="D5" s="4"/>
      <c r="E5" s="4" t="s">
        <v>11</v>
      </c>
      <c r="F5" s="4">
        <v>1340671.8</v>
      </c>
      <c r="G5" s="4">
        <v>1341983.73</v>
      </c>
      <c r="H5" s="4">
        <v>1341983.73</v>
      </c>
      <c r="I5" s="4"/>
      <c r="J5" s="4"/>
      <c r="K5" s="10">
        <f>G5-F5</f>
        <v>1311.9299999999348</v>
      </c>
      <c r="L5" s="6">
        <v>1374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1802591.8199999104</v>
      </c>
      <c r="T5" s="6"/>
      <c r="U5" s="7" t="s">
        <v>12</v>
      </c>
      <c r="V5" s="15">
        <f>E18+E21</f>
        <v>17487.119999999995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1340706</v>
      </c>
      <c r="AI5" s="4">
        <v>1342018</v>
      </c>
      <c r="AJ5" s="4">
        <v>1342018</v>
      </c>
      <c r="AK5" s="4"/>
      <c r="AL5" s="4"/>
      <c r="AM5" s="10">
        <f>AI5-AH5</f>
        <v>1312</v>
      </c>
      <c r="AN5" s="6">
        <v>1374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1802688</v>
      </c>
      <c r="AV5" s="6"/>
      <c r="AW5" s="7" t="s">
        <v>12</v>
      </c>
      <c r="AX5" s="15">
        <f>AG18+AG21</f>
        <v>17486</v>
      </c>
      <c r="AY5" s="15"/>
    </row>
    <row r="6" spans="1:51" x14ac:dyDescent="0.25">
      <c r="C6" s="2"/>
      <c r="D6" s="18" t="s">
        <v>14</v>
      </c>
      <c r="E6" s="3">
        <f>K6+M6+O6+Q6</f>
        <v>2351.4799999999814</v>
      </c>
      <c r="F6" s="4"/>
      <c r="G6" s="4"/>
      <c r="H6" s="4"/>
      <c r="I6" s="4"/>
      <c r="J6" s="4"/>
      <c r="K6" s="19">
        <f>SUM(K4:K5)</f>
        <v>2351.4799999999814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2352</v>
      </c>
      <c r="AH6" s="4"/>
      <c r="AI6" s="4"/>
      <c r="AJ6" s="4"/>
      <c r="AK6" s="4"/>
      <c r="AL6" s="4"/>
      <c r="AM6" s="19">
        <f>SUM(AM4:AM5)</f>
        <v>2352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717434.13</v>
      </c>
      <c r="G7" s="4">
        <v>718355.51</v>
      </c>
      <c r="H7" s="4">
        <v>718355.51</v>
      </c>
      <c r="I7" s="4"/>
      <c r="J7" s="4"/>
      <c r="K7" s="10">
        <f>G7-F7</f>
        <v>921.38000000000466</v>
      </c>
      <c r="L7" s="6">
        <v>1374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1265976.1200000064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717476</v>
      </c>
      <c r="AI7" s="4">
        <v>718397</v>
      </c>
      <c r="AJ7" s="4">
        <v>718397</v>
      </c>
      <c r="AK7" s="4"/>
      <c r="AL7" s="4"/>
      <c r="AM7" s="10">
        <f>AI7-AH7</f>
        <v>921</v>
      </c>
      <c r="AN7" s="6">
        <v>1374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1265454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1118297.04</v>
      </c>
      <c r="G8" s="6">
        <v>1118883.79</v>
      </c>
      <c r="H8" s="6">
        <v>1118883.79</v>
      </c>
      <c r="I8" s="6"/>
      <c r="J8" s="6"/>
      <c r="K8" s="10">
        <f>G8-F8</f>
        <v>586.75</v>
      </c>
      <c r="L8" s="6">
        <v>1374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806194.5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1118339</v>
      </c>
      <c r="AI8" s="6">
        <v>1118926</v>
      </c>
      <c r="AJ8" s="6">
        <v>1118926</v>
      </c>
      <c r="AK8" s="6"/>
      <c r="AL8" s="6"/>
      <c r="AM8" s="10">
        <f>AI8-AH8</f>
        <v>587</v>
      </c>
      <c r="AN8" s="6">
        <v>1374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806538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1508.1300000000047</v>
      </c>
      <c r="F9" s="4"/>
      <c r="G9" s="4"/>
      <c r="H9" s="4"/>
      <c r="I9" s="4"/>
      <c r="J9" s="4"/>
      <c r="K9" s="19">
        <f>SUM(K7:K8)</f>
        <v>1508.1300000000047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1508</v>
      </c>
      <c r="AH9" s="4"/>
      <c r="AI9" s="4"/>
      <c r="AJ9" s="4"/>
      <c r="AK9" s="4"/>
      <c r="AL9" s="4"/>
      <c r="AM9" s="19">
        <f>SUM(AM7:AM8)</f>
        <v>1508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603853.64</v>
      </c>
      <c r="G10" s="6">
        <v>604244.18000000005</v>
      </c>
      <c r="H10" s="6">
        <v>604244.18000000005</v>
      </c>
      <c r="I10" s="6"/>
      <c r="J10" s="6"/>
      <c r="K10" s="10">
        <f>G10-F10</f>
        <v>390.54000000003725</v>
      </c>
      <c r="L10" s="6">
        <v>1374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536601.96000005119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603859</v>
      </c>
      <c r="AI10" s="6">
        <v>604250</v>
      </c>
      <c r="AJ10" s="6">
        <v>604250</v>
      </c>
      <c r="AK10" s="6"/>
      <c r="AL10" s="6"/>
      <c r="AM10" s="10">
        <f>AI10-AH10</f>
        <v>391</v>
      </c>
      <c r="AN10" s="6">
        <v>1374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537234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949616.47</v>
      </c>
      <c r="G11" s="6">
        <v>950789.89</v>
      </c>
      <c r="H11" s="6">
        <v>950789.89</v>
      </c>
      <c r="I11" s="6"/>
      <c r="J11" s="6"/>
      <c r="K11" s="10">
        <f>G11-F11</f>
        <v>1173.4200000000419</v>
      </c>
      <c r="L11" s="6">
        <v>1374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1612279.0800000576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949658</v>
      </c>
      <c r="AI11" s="6">
        <v>950831</v>
      </c>
      <c r="AJ11" s="6">
        <v>950831</v>
      </c>
      <c r="AK11" s="6"/>
      <c r="AL11" s="6"/>
      <c r="AM11" s="10">
        <f>AI11-AH11</f>
        <v>1173</v>
      </c>
      <c r="AN11" s="6">
        <v>1374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1611702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1563.9600000000792</v>
      </c>
      <c r="F12" s="4"/>
      <c r="G12" s="4"/>
      <c r="H12" s="4"/>
      <c r="I12" s="4"/>
      <c r="J12" s="4"/>
      <c r="K12" s="19">
        <f>SUM(K10:K11)</f>
        <v>1563.9600000000792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1564</v>
      </c>
      <c r="AH12" s="4"/>
      <c r="AI12" s="4"/>
      <c r="AJ12" s="4"/>
      <c r="AK12" s="4"/>
      <c r="AL12" s="4"/>
      <c r="AM12" s="19">
        <f>SUM(AM10:AM11)</f>
        <v>1564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533669.04</v>
      </c>
      <c r="G13" s="6">
        <v>534418.28</v>
      </c>
      <c r="H13" s="6">
        <v>534418.28</v>
      </c>
      <c r="I13" s="6"/>
      <c r="J13" s="6"/>
      <c r="K13" s="10">
        <f>G13-F13</f>
        <v>749.23999999999069</v>
      </c>
      <c r="L13" s="6">
        <v>1374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1029455.7599999872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533711</v>
      </c>
      <c r="AI13" s="6">
        <v>534460</v>
      </c>
      <c r="AJ13" s="6">
        <v>534460</v>
      </c>
      <c r="AK13" s="6"/>
      <c r="AL13" s="6"/>
      <c r="AM13" s="10">
        <f>AI13-AH13</f>
        <v>749</v>
      </c>
      <c r="AN13" s="6">
        <v>1374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1029126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939386.17</v>
      </c>
      <c r="G14" s="4">
        <v>939916.07</v>
      </c>
      <c r="H14" s="4">
        <v>939916.07</v>
      </c>
      <c r="I14" s="4"/>
      <c r="J14" s="4"/>
      <c r="K14" s="10">
        <f>G14-F14</f>
        <v>529.89999999990687</v>
      </c>
      <c r="L14" s="6">
        <v>1374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728082.59999987204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939418</v>
      </c>
      <c r="AI14" s="4">
        <v>939948</v>
      </c>
      <c r="AJ14" s="4">
        <v>939948</v>
      </c>
      <c r="AK14" s="4"/>
      <c r="AL14" s="4"/>
      <c r="AM14" s="10">
        <f>AI14-AH14</f>
        <v>530</v>
      </c>
      <c r="AN14" s="6">
        <v>1374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728220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1279.1399999998976</v>
      </c>
      <c r="F15" s="4"/>
      <c r="G15" s="4"/>
      <c r="H15" s="4"/>
      <c r="I15" s="4"/>
      <c r="J15" s="4"/>
      <c r="K15" s="19">
        <f>SUM(K13:K14)</f>
        <v>1279.1399999998976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1279</v>
      </c>
      <c r="AH15" s="4"/>
      <c r="AI15" s="4"/>
      <c r="AJ15" s="4"/>
      <c r="AK15" s="4"/>
      <c r="AL15" s="4"/>
      <c r="AM15" s="19">
        <f>SUM(AM13:AM14)</f>
        <v>1279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726888.26</v>
      </c>
      <c r="G16" s="4">
        <v>730960.4</v>
      </c>
      <c r="H16" s="4">
        <v>730960.4</v>
      </c>
      <c r="I16" s="4"/>
      <c r="J16" s="4"/>
      <c r="K16" s="10">
        <f>G16-F16</f>
        <v>4072.140000000014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7610829.6600000262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2081260</v>
      </c>
      <c r="AI16" s="4">
        <v>2085332</v>
      </c>
      <c r="AJ16" s="4">
        <v>2085332</v>
      </c>
      <c r="AK16" s="4"/>
      <c r="AL16" s="4"/>
      <c r="AM16" s="10">
        <f>AI16-AH16</f>
        <v>4072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7610568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723187.11</v>
      </c>
      <c r="G17" s="6">
        <v>726897.19</v>
      </c>
      <c r="H17" s="6">
        <v>726897.19</v>
      </c>
      <c r="I17" s="6"/>
      <c r="J17" s="6"/>
      <c r="K17" s="10">
        <f>G17-F17</f>
        <v>3710.0799999999581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6934139.5199999213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1756629</v>
      </c>
      <c r="AI17" s="6">
        <v>1760339</v>
      </c>
      <c r="AJ17" s="6">
        <v>1760339</v>
      </c>
      <c r="AK17" s="6"/>
      <c r="AL17" s="6"/>
      <c r="AM17" s="10">
        <f>AI17-AH17</f>
        <v>3710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6933990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7782.2199999999721</v>
      </c>
      <c r="F18" s="4"/>
      <c r="G18" s="4"/>
      <c r="H18" s="4"/>
      <c r="I18" s="4"/>
      <c r="J18" s="4"/>
      <c r="K18" s="19">
        <f>SUM(K16:K17)</f>
        <v>7782.2199999999721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7782</v>
      </c>
      <c r="AH18" s="4"/>
      <c r="AI18" s="4"/>
      <c r="AJ18" s="4"/>
      <c r="AK18" s="4"/>
      <c r="AL18" s="4"/>
      <c r="AM18" s="19">
        <f>SUM(AM16:AM17)</f>
        <v>7782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422450.11</v>
      </c>
      <c r="G19" s="6">
        <v>427256.83</v>
      </c>
      <c r="H19" s="6">
        <v>427256.83</v>
      </c>
      <c r="I19" s="6"/>
      <c r="J19" s="6"/>
      <c r="K19" s="10">
        <f t="shared" ref="K19:K20" si="8">G19-F19</f>
        <v>4806.7200000000303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8983759.6800000574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1262462</v>
      </c>
      <c r="AI19" s="6">
        <v>1267268</v>
      </c>
      <c r="AJ19" s="6">
        <v>1267268</v>
      </c>
      <c r="AK19" s="6"/>
      <c r="AL19" s="6"/>
      <c r="AM19" s="10">
        <f t="shared" ref="AM19:AM20" si="10">AI19-AH19</f>
        <v>4806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8982414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509464.06</v>
      </c>
      <c r="G20" s="6">
        <v>514362.24</v>
      </c>
      <c r="H20" s="6">
        <v>514362.24</v>
      </c>
      <c r="I20" s="6"/>
      <c r="J20" s="6"/>
      <c r="K20" s="10">
        <f t="shared" si="8"/>
        <v>4898.179999999993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9154698.4199999869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1283993</v>
      </c>
      <c r="AI20" s="6">
        <v>1288891</v>
      </c>
      <c r="AJ20" s="6">
        <v>1288891</v>
      </c>
      <c r="AK20" s="6"/>
      <c r="AL20" s="6"/>
      <c r="AM20" s="10">
        <f t="shared" si="10"/>
        <v>4898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9154362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9704.9000000000233</v>
      </c>
      <c r="F21" s="4"/>
      <c r="G21" s="4"/>
      <c r="H21" s="4"/>
      <c r="I21" s="4"/>
      <c r="J21" s="4"/>
      <c r="K21" s="19">
        <f>SUM(K19:K20)</f>
        <v>9704.9000000000233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9704</v>
      </c>
      <c r="AH21" s="4"/>
      <c r="AI21" s="4"/>
      <c r="AJ21" s="4"/>
      <c r="AK21" s="4"/>
      <c r="AL21" s="4"/>
      <c r="AM21" s="19">
        <f>SUM(AM19:AM20)</f>
        <v>9704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38674.759999999893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41892950.819999941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38674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41891256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16650</v>
      </c>
      <c r="G25" s="38">
        <v>14500</v>
      </c>
      <c r="H25" s="39">
        <f t="shared" ref="H25:H30" si="12">F25+V8-G25</f>
        <v>2150</v>
      </c>
      <c r="I25" s="39">
        <f>E6-H25</f>
        <v>201.47999999998137</v>
      </c>
      <c r="J25" s="40">
        <f>E6*0.085</f>
        <v>199.87579999999843</v>
      </c>
      <c r="K25" s="40">
        <f t="shared" ref="K25:K30" si="13">I25-J25</f>
        <v>1.6041999999829386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16650</v>
      </c>
      <c r="AI25" s="38">
        <v>14500</v>
      </c>
      <c r="AJ25" s="39">
        <f t="shared" ref="AJ25:AJ30" si="14">AH25+AX8-AI25</f>
        <v>2150</v>
      </c>
      <c r="AK25" s="39">
        <f>AG6-AJ25</f>
        <v>202</v>
      </c>
      <c r="AL25" s="40">
        <f>AG6*0.085</f>
        <v>199.92000000000002</v>
      </c>
      <c r="AM25" s="40">
        <f t="shared" ref="AM25:AM30" si="15">AK25-AL25</f>
        <v>2.0799999999999841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8050</v>
      </c>
      <c r="G26" s="38">
        <v>6650</v>
      </c>
      <c r="H26" s="39">
        <f t="shared" si="12"/>
        <v>1400</v>
      </c>
      <c r="I26" s="39">
        <f>E9-H26</f>
        <v>108.13000000000466</v>
      </c>
      <c r="J26" s="40">
        <f>E9*0.085</f>
        <v>128.19105000000042</v>
      </c>
      <c r="K26" s="40">
        <f t="shared" si="13"/>
        <v>-20.06104999999576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8050</v>
      </c>
      <c r="AI26" s="38">
        <v>6650</v>
      </c>
      <c r="AJ26" s="39">
        <f t="shared" si="14"/>
        <v>1400</v>
      </c>
      <c r="AK26" s="39">
        <f>AG9-AJ26</f>
        <v>108</v>
      </c>
      <c r="AL26" s="40">
        <f>AG9*0.085</f>
        <v>128.18</v>
      </c>
      <c r="AM26" s="40">
        <f t="shared" si="15"/>
        <v>-20.180000000000007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13100</v>
      </c>
      <c r="G27" s="38">
        <v>11650</v>
      </c>
      <c r="H27" s="39">
        <f t="shared" si="12"/>
        <v>1450</v>
      </c>
      <c r="I27" s="39">
        <f>E12-H27</f>
        <v>113.96000000007916</v>
      </c>
      <c r="J27" s="40">
        <f>E12*0.085</f>
        <v>132.93660000000673</v>
      </c>
      <c r="K27" s="40">
        <f t="shared" si="13"/>
        <v>-18.976599999927572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13100</v>
      </c>
      <c r="AI27" s="38">
        <v>11650</v>
      </c>
      <c r="AJ27" s="39">
        <f t="shared" si="14"/>
        <v>1450</v>
      </c>
      <c r="AK27" s="39">
        <f>AG12-AJ27</f>
        <v>114</v>
      </c>
      <c r="AL27" s="40">
        <f>AG12*0.085</f>
        <v>132.94</v>
      </c>
      <c r="AM27" s="40">
        <f t="shared" si="15"/>
        <v>-18.939999999999998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16550</v>
      </c>
      <c r="G28" s="38">
        <v>15500</v>
      </c>
      <c r="H28" s="39">
        <f t="shared" si="12"/>
        <v>1050</v>
      </c>
      <c r="I28" s="39">
        <f>E15-H28</f>
        <v>229.13999999989755</v>
      </c>
      <c r="J28" s="40">
        <f>E15*0.085</f>
        <v>108.7268999999913</v>
      </c>
      <c r="K28" s="40">
        <f t="shared" si="13"/>
        <v>120.41309999990625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16550</v>
      </c>
      <c r="AI28" s="38">
        <v>15500</v>
      </c>
      <c r="AJ28" s="39">
        <f t="shared" si="14"/>
        <v>1050</v>
      </c>
      <c r="AK28" s="39">
        <f>AG15-AJ28</f>
        <v>229</v>
      </c>
      <c r="AL28" s="40">
        <f>AG15*0.085</f>
        <v>108.715</v>
      </c>
      <c r="AM28" s="40">
        <f t="shared" si="15"/>
        <v>120.285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47750</v>
      </c>
      <c r="G29" s="38">
        <v>40400</v>
      </c>
      <c r="H29" s="39">
        <f>F29+V12-G29</f>
        <v>7350</v>
      </c>
      <c r="I29" s="39">
        <f>E18-H29</f>
        <v>432.21999999997206</v>
      </c>
      <c r="J29" s="40">
        <f>E18*0.085</f>
        <v>661.48869999999772</v>
      </c>
      <c r="K29" s="40">
        <f t="shared" si="13"/>
        <v>-229.26870000002566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47750</v>
      </c>
      <c r="AI29" s="38">
        <v>40400</v>
      </c>
      <c r="AJ29" s="39">
        <f t="shared" si="14"/>
        <v>7350</v>
      </c>
      <c r="AK29" s="39">
        <f>AG18-AJ29</f>
        <v>432</v>
      </c>
      <c r="AL29" s="40">
        <f>AG18*0.085</f>
        <v>661.47</v>
      </c>
      <c r="AM29" s="40">
        <f t="shared" si="15"/>
        <v>-229.47000000000003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19000</v>
      </c>
      <c r="G30" s="38">
        <v>9950</v>
      </c>
      <c r="H30" s="39">
        <f t="shared" si="12"/>
        <v>9050</v>
      </c>
      <c r="I30" s="39">
        <f>E21-H30</f>
        <v>654.90000000002328</v>
      </c>
      <c r="J30" s="40">
        <f>E21*0.085</f>
        <v>824.91650000000209</v>
      </c>
      <c r="K30" s="40">
        <f t="shared" si="13"/>
        <v>-170.01649999997881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19000</v>
      </c>
      <c r="AI30" s="38">
        <v>9950</v>
      </c>
      <c r="AJ30" s="39">
        <f t="shared" si="14"/>
        <v>9050</v>
      </c>
      <c r="AK30" s="39">
        <f>AG21-AJ30</f>
        <v>654</v>
      </c>
      <c r="AL30" s="40">
        <f>AG21*0.085</f>
        <v>824.84</v>
      </c>
      <c r="AM30" s="40">
        <f t="shared" si="15"/>
        <v>-170.84000000000003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0</v>
      </c>
      <c r="C33" s="16">
        <v>0</v>
      </c>
      <c r="D33" s="16">
        <v>0</v>
      </c>
      <c r="E33" s="16">
        <v>0</v>
      </c>
      <c r="F33" s="16">
        <v>0</v>
      </c>
      <c r="G33" s="16">
        <v>4021545</v>
      </c>
      <c r="H33" s="49">
        <v>682900</v>
      </c>
      <c r="I33" s="16">
        <v>271280</v>
      </c>
      <c r="J33" s="16">
        <v>25086182.780000001</v>
      </c>
      <c r="K33" s="16">
        <v>539300</v>
      </c>
      <c r="L33" s="16">
        <v>348950</v>
      </c>
      <c r="M33" s="16">
        <v>4248390</v>
      </c>
      <c r="N33" s="16">
        <v>0</v>
      </c>
      <c r="O33" s="16">
        <v>390589.62</v>
      </c>
      <c r="P33" s="16">
        <v>0</v>
      </c>
      <c r="Q33" s="16">
        <v>756611.66</v>
      </c>
      <c r="R33" s="49">
        <v>0</v>
      </c>
      <c r="S33" s="16">
        <v>933887.26</v>
      </c>
      <c r="T33" s="16">
        <v>11089190.23</v>
      </c>
      <c r="U33" s="42">
        <f>SUM(S22-A33-B33-W27-C33-D33-E33-F33-G33-H33-I33-J33-K33-L33-M33-N33-O33-P33-Q33-R33-J35-K35-L35-M35-N35-O35-P35-Q35-S33+T33)</f>
        <v>9457561.729999939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6051343</v>
      </c>
      <c r="K35" s="16"/>
      <c r="L35" s="16">
        <v>0</v>
      </c>
      <c r="M35" s="16">
        <v>0</v>
      </c>
      <c r="N35" s="16">
        <v>193600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G14" workbookViewId="0">
      <selection activeCell="U33" sqref="U33"/>
    </sheetView>
  </sheetViews>
  <sheetFormatPr defaultRowHeight="15" x14ac:dyDescent="0.25"/>
  <cols>
    <col min="1" max="1" width="9.7109375" bestFit="1" customWidth="1"/>
    <col min="5" max="5" width="10" bestFit="1" customWidth="1"/>
    <col min="7" max="8" width="10" bestFit="1" customWidth="1"/>
    <col min="10" max="11" width="10.85546875" bestFit="1" customWidth="1"/>
    <col min="13" max="13" width="10.85546875" bestFit="1" customWidth="1"/>
    <col min="14" max="18" width="10" bestFit="1" customWidth="1"/>
    <col min="19" max="19" width="12" bestFit="1" customWidth="1"/>
    <col min="20" max="20" width="10.85546875" bestFit="1" customWidth="1"/>
    <col min="21" max="21" width="16.140625" customWidth="1"/>
  </cols>
  <sheetData>
    <row r="1" spans="1:51" x14ac:dyDescent="0.25">
      <c r="A1" s="1">
        <v>46282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1052630.7</v>
      </c>
      <c r="G4" s="4">
        <v>1053746.48</v>
      </c>
      <c r="H4" s="4">
        <v>1053746.48</v>
      </c>
      <c r="I4" s="4"/>
      <c r="J4" s="4"/>
      <c r="K4" s="10">
        <f>G4-F4</f>
        <v>1115.7800000000279</v>
      </c>
      <c r="L4" s="6">
        <v>1374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1533081.7200000384</v>
      </c>
      <c r="T4" s="6"/>
      <c r="U4" s="7" t="s">
        <v>9</v>
      </c>
      <c r="V4" s="11">
        <f>E6+E9+E12+E15</f>
        <v>7957.0099999998929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1052658</v>
      </c>
      <c r="AI4" s="4">
        <v>1053774</v>
      </c>
      <c r="AJ4" s="4">
        <v>1053774</v>
      </c>
      <c r="AK4" s="4"/>
      <c r="AL4" s="4"/>
      <c r="AM4" s="10">
        <f>AI4-AH4</f>
        <v>1116</v>
      </c>
      <c r="AN4" s="6">
        <v>1374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1533384</v>
      </c>
      <c r="AV4" s="6"/>
      <c r="AW4" s="7" t="s">
        <v>9</v>
      </c>
      <c r="AX4" s="11">
        <f>AG6+AG9+AG12+AG15</f>
        <v>7958</v>
      </c>
      <c r="AY4" s="11"/>
    </row>
    <row r="5" spans="1:51" x14ac:dyDescent="0.25">
      <c r="C5" s="2"/>
      <c r="D5" s="4"/>
      <c r="E5" s="4" t="s">
        <v>11</v>
      </c>
      <c r="F5" s="4">
        <v>1341983.73</v>
      </c>
      <c r="G5" s="4">
        <v>1343445.32</v>
      </c>
      <c r="H5" s="4">
        <v>1343445.32</v>
      </c>
      <c r="I5" s="4"/>
      <c r="J5" s="4"/>
      <c r="K5" s="10">
        <f>G5-F5</f>
        <v>1461.5900000000838</v>
      </c>
      <c r="L5" s="6">
        <v>1374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2008224.6600001152</v>
      </c>
      <c r="T5" s="6"/>
      <c r="U5" s="7" t="s">
        <v>12</v>
      </c>
      <c r="V5" s="15">
        <f>E18+E21</f>
        <v>13262.22000000003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1342018</v>
      </c>
      <c r="AI5" s="4">
        <v>1343480</v>
      </c>
      <c r="AJ5" s="4">
        <v>1343480</v>
      </c>
      <c r="AK5" s="4"/>
      <c r="AL5" s="4"/>
      <c r="AM5" s="10">
        <f>AI5-AH5</f>
        <v>1462</v>
      </c>
      <c r="AN5" s="6">
        <v>1374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2008788</v>
      </c>
      <c r="AV5" s="6"/>
      <c r="AW5" s="7" t="s">
        <v>12</v>
      </c>
      <c r="AX5" s="15">
        <f>AG18+AG21</f>
        <v>13253</v>
      </c>
      <c r="AY5" s="15"/>
    </row>
    <row r="6" spans="1:51" x14ac:dyDescent="0.25">
      <c r="C6" s="2"/>
      <c r="D6" s="18" t="s">
        <v>14</v>
      </c>
      <c r="E6" s="3">
        <f>K6+M6+O6+Q6</f>
        <v>2577.3700000001118</v>
      </c>
      <c r="F6" s="4"/>
      <c r="G6" s="4"/>
      <c r="H6" s="4"/>
      <c r="I6" s="4"/>
      <c r="J6" s="4"/>
      <c r="K6" s="19">
        <f>SUM(K4:K5)</f>
        <v>2577.3700000001118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2578</v>
      </c>
      <c r="AH6" s="4"/>
      <c r="AI6" s="4"/>
      <c r="AJ6" s="4"/>
      <c r="AK6" s="4"/>
      <c r="AL6" s="4"/>
      <c r="AM6" s="19">
        <f>SUM(AM4:AM5)</f>
        <v>2578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718355.51</v>
      </c>
      <c r="G7" s="4">
        <v>718858.41</v>
      </c>
      <c r="H7" s="4">
        <v>718858.41</v>
      </c>
      <c r="I7" s="4"/>
      <c r="J7" s="4"/>
      <c r="K7" s="10">
        <f>G7-F7</f>
        <v>502.90000000002328</v>
      </c>
      <c r="L7" s="6">
        <v>1374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690984.60000003199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718397</v>
      </c>
      <c r="AI7" s="4">
        <v>718900</v>
      </c>
      <c r="AJ7" s="4">
        <v>718900</v>
      </c>
      <c r="AK7" s="4"/>
      <c r="AL7" s="4"/>
      <c r="AM7" s="10">
        <f>AI7-AH7</f>
        <v>503</v>
      </c>
      <c r="AN7" s="6">
        <v>1374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691122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1118883.79</v>
      </c>
      <c r="G8" s="6">
        <v>1120288.8899999999</v>
      </c>
      <c r="H8" s="6">
        <v>1120288.8899999999</v>
      </c>
      <c r="I8" s="6"/>
      <c r="J8" s="6"/>
      <c r="K8" s="10">
        <f>G8-F8</f>
        <v>1405.0999999998603</v>
      </c>
      <c r="L8" s="6">
        <v>1374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1930607.3999998081</v>
      </c>
      <c r="T8" s="6"/>
      <c r="U8" s="7" t="s">
        <v>20</v>
      </c>
      <c r="V8" s="23">
        <v>28600</v>
      </c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1118926</v>
      </c>
      <c r="AI8" s="6">
        <v>1120331</v>
      </c>
      <c r="AJ8" s="6">
        <v>1120331</v>
      </c>
      <c r="AK8" s="6"/>
      <c r="AL8" s="6"/>
      <c r="AM8" s="10">
        <f>AI8-AH8</f>
        <v>1405</v>
      </c>
      <c r="AN8" s="6">
        <v>1374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1930470</v>
      </c>
      <c r="AV8" s="6"/>
      <c r="AW8" s="7" t="s">
        <v>20</v>
      </c>
      <c r="AX8" s="23">
        <v>28600</v>
      </c>
      <c r="AY8" s="23"/>
    </row>
    <row r="9" spans="1:51" x14ac:dyDescent="0.25">
      <c r="C9" s="2"/>
      <c r="D9" s="18" t="s">
        <v>21</v>
      </c>
      <c r="E9" s="3">
        <f>K9+M9+O9+Q9</f>
        <v>1907.9999999998836</v>
      </c>
      <c r="F9" s="4"/>
      <c r="G9" s="4"/>
      <c r="H9" s="4"/>
      <c r="I9" s="4"/>
      <c r="J9" s="4"/>
      <c r="K9" s="19">
        <f>SUM(K7:K8)</f>
        <v>1907.9999999998836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>
        <v>19800</v>
      </c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1908</v>
      </c>
      <c r="AH9" s="4"/>
      <c r="AI9" s="4"/>
      <c r="AJ9" s="4"/>
      <c r="AK9" s="4"/>
      <c r="AL9" s="4"/>
      <c r="AM9" s="19">
        <f>SUM(AM7:AM8)</f>
        <v>1908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>
        <v>19800</v>
      </c>
      <c r="AY9" s="23"/>
    </row>
    <row r="10" spans="1:51" x14ac:dyDescent="0.25">
      <c r="C10" s="2"/>
      <c r="D10" s="18"/>
      <c r="E10" s="4" t="s">
        <v>22</v>
      </c>
      <c r="F10" s="6">
        <v>604244.18000000005</v>
      </c>
      <c r="G10" s="6">
        <v>605185.14</v>
      </c>
      <c r="H10" s="6">
        <v>605185.14</v>
      </c>
      <c r="I10" s="6"/>
      <c r="J10" s="6"/>
      <c r="K10" s="10">
        <f>G10-F10</f>
        <v>940.95999999996275</v>
      </c>
      <c r="L10" s="6">
        <v>1374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1292879.0399999488</v>
      </c>
      <c r="T10" s="6"/>
      <c r="U10" s="7" t="s">
        <v>16</v>
      </c>
      <c r="V10" s="23">
        <v>11600</v>
      </c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604250</v>
      </c>
      <c r="AI10" s="6">
        <v>605191</v>
      </c>
      <c r="AJ10" s="6">
        <v>605191</v>
      </c>
      <c r="AK10" s="6"/>
      <c r="AL10" s="6"/>
      <c r="AM10" s="10">
        <f>AI10-AH10</f>
        <v>941</v>
      </c>
      <c r="AN10" s="6">
        <v>1374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1292934</v>
      </c>
      <c r="AV10" s="6"/>
      <c r="AW10" s="7" t="s">
        <v>16</v>
      </c>
      <c r="AX10" s="23">
        <v>11600</v>
      </c>
      <c r="AY10" s="23"/>
    </row>
    <row r="11" spans="1:51" x14ac:dyDescent="0.25">
      <c r="C11" s="2"/>
      <c r="D11" s="2"/>
      <c r="E11" s="4" t="s">
        <v>23</v>
      </c>
      <c r="F11" s="6">
        <v>950789.89</v>
      </c>
      <c r="G11" s="6">
        <v>951893.69</v>
      </c>
      <c r="H11" s="6">
        <v>951893.69</v>
      </c>
      <c r="I11" s="6"/>
      <c r="J11" s="6"/>
      <c r="K11" s="10">
        <f>G11-F11</f>
        <v>1103.7999999999302</v>
      </c>
      <c r="L11" s="6">
        <v>1374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1516621.199999904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950831</v>
      </c>
      <c r="AI11" s="6">
        <v>951935</v>
      </c>
      <c r="AJ11" s="6">
        <v>951935</v>
      </c>
      <c r="AK11" s="6"/>
      <c r="AL11" s="6"/>
      <c r="AM11" s="10">
        <f>AI11-AH11</f>
        <v>1104</v>
      </c>
      <c r="AN11" s="6">
        <v>1374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1516896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2044.7599999998929</v>
      </c>
      <c r="F12" s="4"/>
      <c r="G12" s="4"/>
      <c r="H12" s="4"/>
      <c r="I12" s="4"/>
      <c r="J12" s="4"/>
      <c r="K12" s="19">
        <f>SUM(K10:K11)</f>
        <v>2044.7599999998929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2045</v>
      </c>
      <c r="AH12" s="4"/>
      <c r="AI12" s="4"/>
      <c r="AJ12" s="4"/>
      <c r="AK12" s="4"/>
      <c r="AL12" s="4"/>
      <c r="AM12" s="19">
        <f>SUM(AM10:AM11)</f>
        <v>2045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534418.28</v>
      </c>
      <c r="G13" s="6">
        <v>535526</v>
      </c>
      <c r="H13" s="6">
        <v>535526</v>
      </c>
      <c r="I13" s="6"/>
      <c r="J13" s="6"/>
      <c r="K13" s="10">
        <f>G13-F13</f>
        <v>1107.7199999999721</v>
      </c>
      <c r="L13" s="6">
        <v>1374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1522007.2799999616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534460</v>
      </c>
      <c r="AI13" s="6">
        <v>535568</v>
      </c>
      <c r="AJ13" s="6">
        <v>535568</v>
      </c>
      <c r="AK13" s="6"/>
      <c r="AL13" s="6"/>
      <c r="AM13" s="10">
        <f>AI13-AH13</f>
        <v>1108</v>
      </c>
      <c r="AN13" s="6">
        <v>1374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1522392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939916.07</v>
      </c>
      <c r="G14" s="4">
        <v>940235.23</v>
      </c>
      <c r="H14" s="4">
        <v>940235.23</v>
      </c>
      <c r="I14" s="4"/>
      <c r="J14" s="4"/>
      <c r="K14" s="10">
        <f>G14-F14</f>
        <v>319.1600000000326</v>
      </c>
      <c r="L14" s="6">
        <v>1374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438525.84000004479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939948</v>
      </c>
      <c r="AI14" s="4">
        <v>940267</v>
      </c>
      <c r="AJ14" s="4">
        <v>940267</v>
      </c>
      <c r="AK14" s="4"/>
      <c r="AL14" s="4"/>
      <c r="AM14" s="10">
        <f>AI14-AH14</f>
        <v>319</v>
      </c>
      <c r="AN14" s="6">
        <v>1374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438306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1426.8800000000047</v>
      </c>
      <c r="F15" s="4"/>
      <c r="G15" s="4"/>
      <c r="H15" s="4"/>
      <c r="I15" s="4"/>
      <c r="J15" s="4"/>
      <c r="K15" s="19">
        <f>SUM(K13:K14)</f>
        <v>1426.8800000000047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1427</v>
      </c>
      <c r="AH15" s="4"/>
      <c r="AI15" s="4"/>
      <c r="AJ15" s="4"/>
      <c r="AK15" s="4"/>
      <c r="AL15" s="4"/>
      <c r="AM15" s="19">
        <f>SUM(AM13:AM14)</f>
        <v>1427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730960.4</v>
      </c>
      <c r="G16" s="4">
        <v>735206.97</v>
      </c>
      <c r="H16" s="4">
        <v>735206.97</v>
      </c>
      <c r="I16" s="4"/>
      <c r="J16" s="4"/>
      <c r="K16" s="10">
        <f>G16-F16</f>
        <v>4246.5699999999488</v>
      </c>
      <c r="L16" s="6">
        <v>1869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7936839.3299999041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2085332</v>
      </c>
      <c r="AI16" s="4">
        <v>2089570</v>
      </c>
      <c r="AJ16" s="4">
        <v>2089570</v>
      </c>
      <c r="AK16" s="4"/>
      <c r="AL16" s="4"/>
      <c r="AM16" s="10">
        <f>AI16-AH16</f>
        <v>4238</v>
      </c>
      <c r="AN16" s="6">
        <v>1869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7920822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726897.19</v>
      </c>
      <c r="G17" s="6">
        <v>729794.43</v>
      </c>
      <c r="H17" s="6">
        <v>729794.43</v>
      </c>
      <c r="I17" s="6"/>
      <c r="J17" s="6"/>
      <c r="K17" s="10">
        <f>G17-F17</f>
        <v>2897.2400000001071</v>
      </c>
      <c r="L17" s="6">
        <v>1869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5414941.5600001998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1760339</v>
      </c>
      <c r="AI17" s="6">
        <v>1763236</v>
      </c>
      <c r="AJ17" s="6">
        <v>1763236</v>
      </c>
      <c r="AK17" s="6"/>
      <c r="AL17" s="6"/>
      <c r="AM17" s="10">
        <f>AI17-AH17</f>
        <v>2897</v>
      </c>
      <c r="AN17" s="6">
        <v>1869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5414493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7143.8100000000559</v>
      </c>
      <c r="F18" s="4"/>
      <c r="G18" s="4"/>
      <c r="H18" s="4"/>
      <c r="I18" s="4"/>
      <c r="J18" s="4"/>
      <c r="K18" s="19">
        <f>SUM(K16:K17)</f>
        <v>7143.8100000000559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7135</v>
      </c>
      <c r="AH18" s="4"/>
      <c r="AI18" s="4"/>
      <c r="AJ18" s="4"/>
      <c r="AK18" s="4"/>
      <c r="AL18" s="4"/>
      <c r="AM18" s="19">
        <f>SUM(AM16:AM17)</f>
        <v>7135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427256.83</v>
      </c>
      <c r="G19" s="6">
        <v>430557.91</v>
      </c>
      <c r="H19" s="6">
        <v>430557.91</v>
      </c>
      <c r="I19" s="6"/>
      <c r="J19" s="6"/>
      <c r="K19" s="10">
        <f t="shared" ref="K19:K20" si="8">G19-F19</f>
        <v>3301.0799999999581</v>
      </c>
      <c r="L19" s="6">
        <v>1869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6169718.5199999213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1267268</v>
      </c>
      <c r="AI19" s="6">
        <v>1270569</v>
      </c>
      <c r="AJ19" s="6">
        <v>1270569</v>
      </c>
      <c r="AK19" s="6"/>
      <c r="AL19" s="6"/>
      <c r="AM19" s="10">
        <f t="shared" ref="AM19:AM20" si="10">AI19-AH19</f>
        <v>3301</v>
      </c>
      <c r="AN19" s="6">
        <v>1869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6169569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514362.24</v>
      </c>
      <c r="G20" s="6">
        <v>517179.57</v>
      </c>
      <c r="H20" s="6">
        <v>517179.57</v>
      </c>
      <c r="I20" s="6"/>
      <c r="J20" s="6"/>
      <c r="K20" s="10">
        <f t="shared" si="8"/>
        <v>2817.3300000000163</v>
      </c>
      <c r="L20" s="6">
        <v>1869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5265589.7700000303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1288891</v>
      </c>
      <c r="AI20" s="6">
        <v>1291708</v>
      </c>
      <c r="AJ20" s="6">
        <v>1291708</v>
      </c>
      <c r="AK20" s="6"/>
      <c r="AL20" s="6"/>
      <c r="AM20" s="10">
        <f t="shared" si="10"/>
        <v>2817</v>
      </c>
      <c r="AN20" s="6">
        <v>1869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5264973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6118.4099999999744</v>
      </c>
      <c r="F21" s="4"/>
      <c r="G21" s="4"/>
      <c r="H21" s="4"/>
      <c r="I21" s="4"/>
      <c r="J21" s="4"/>
      <c r="K21" s="19">
        <f>SUM(K19:K20)</f>
        <v>6118.4099999999744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6118</v>
      </c>
      <c r="AH21" s="4"/>
      <c r="AI21" s="4"/>
      <c r="AJ21" s="4"/>
      <c r="AK21" s="4"/>
      <c r="AL21" s="4"/>
      <c r="AM21" s="19">
        <f>SUM(AM19:AM20)</f>
        <v>6118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36320.049999999872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35720020.919999912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36304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35704149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14500</v>
      </c>
      <c r="G25" s="38">
        <v>40350</v>
      </c>
      <c r="H25" s="39">
        <f t="shared" ref="H25:H30" si="12">F25+V8-G25</f>
        <v>2750</v>
      </c>
      <c r="I25" s="39">
        <f>E6-H25</f>
        <v>-172.62999999988824</v>
      </c>
      <c r="J25" s="40">
        <f>E6*0.085</f>
        <v>219.07645000000952</v>
      </c>
      <c r="K25" s="40">
        <f t="shared" ref="K25:K30" si="13">I25-J25</f>
        <v>-391.70644999989776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14500</v>
      </c>
      <c r="AI25" s="38">
        <v>40350</v>
      </c>
      <c r="AJ25" s="39">
        <f t="shared" ref="AJ25:AJ30" si="14">AH25+AX8-AI25</f>
        <v>2750</v>
      </c>
      <c r="AK25" s="39">
        <f>AG6-AJ25</f>
        <v>-172</v>
      </c>
      <c r="AL25" s="40">
        <f>AG6*0.085</f>
        <v>219.13000000000002</v>
      </c>
      <c r="AM25" s="40">
        <f t="shared" ref="AM25:AM30" si="15">AK25-AL25</f>
        <v>-391.13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6650</v>
      </c>
      <c r="G26" s="38">
        <v>24600</v>
      </c>
      <c r="H26" s="39">
        <f t="shared" si="12"/>
        <v>1850</v>
      </c>
      <c r="I26" s="39">
        <f>E9-H26</f>
        <v>57.999999999883585</v>
      </c>
      <c r="J26" s="40">
        <f>E9*0.085</f>
        <v>162.17999999999012</v>
      </c>
      <c r="K26" s="40">
        <f t="shared" si="13"/>
        <v>-104.18000000010653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6650</v>
      </c>
      <c r="AI26" s="38">
        <v>24600</v>
      </c>
      <c r="AJ26" s="39">
        <f t="shared" si="14"/>
        <v>1850</v>
      </c>
      <c r="AK26" s="39">
        <f>AG9-AJ26</f>
        <v>58</v>
      </c>
      <c r="AL26" s="40">
        <f>AG9*0.085</f>
        <v>162.18</v>
      </c>
      <c r="AM26" s="40">
        <f t="shared" si="15"/>
        <v>-104.18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11650</v>
      </c>
      <c r="G27" s="38">
        <v>21300</v>
      </c>
      <c r="H27" s="39">
        <f t="shared" si="12"/>
        <v>1950</v>
      </c>
      <c r="I27" s="39">
        <f>E12-H27</f>
        <v>94.759999999892898</v>
      </c>
      <c r="J27" s="40">
        <f>E12*0.085</f>
        <v>173.8045999999909</v>
      </c>
      <c r="K27" s="40">
        <f t="shared" si="13"/>
        <v>-79.044600000098001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11650</v>
      </c>
      <c r="AI27" s="38">
        <v>21300</v>
      </c>
      <c r="AJ27" s="39">
        <f t="shared" si="14"/>
        <v>1950</v>
      </c>
      <c r="AK27" s="39">
        <f>AG12-AJ27</f>
        <v>95</v>
      </c>
      <c r="AL27" s="40">
        <f>AG12*0.085</f>
        <v>173.82500000000002</v>
      </c>
      <c r="AM27" s="40">
        <f t="shared" si="15"/>
        <v>-78.825000000000017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15500</v>
      </c>
      <c r="G28" s="38">
        <v>14050</v>
      </c>
      <c r="H28" s="39">
        <f t="shared" si="12"/>
        <v>1450</v>
      </c>
      <c r="I28" s="39">
        <f>E15-H28</f>
        <v>-23.119999999995343</v>
      </c>
      <c r="J28" s="40">
        <f>E15*0.085</f>
        <v>121.2848000000004</v>
      </c>
      <c r="K28" s="40">
        <f t="shared" si="13"/>
        <v>-144.40479999999576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15500</v>
      </c>
      <c r="AI28" s="38">
        <v>14050</v>
      </c>
      <c r="AJ28" s="39">
        <f t="shared" si="14"/>
        <v>1450</v>
      </c>
      <c r="AK28" s="39">
        <f>AG15-AJ28</f>
        <v>-23</v>
      </c>
      <c r="AL28" s="40">
        <f>AG15*0.085</f>
        <v>121.295</v>
      </c>
      <c r="AM28" s="40">
        <f t="shared" si="15"/>
        <v>-144.29500000000002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40400</v>
      </c>
      <c r="G29" s="38">
        <v>33850</v>
      </c>
      <c r="H29" s="39">
        <f>F29+V12-G29</f>
        <v>6550</v>
      </c>
      <c r="I29" s="39">
        <f>E18-H29</f>
        <v>593.81000000005588</v>
      </c>
      <c r="J29" s="40">
        <f>E18*0.085</f>
        <v>607.22385000000475</v>
      </c>
      <c r="K29" s="40">
        <f t="shared" si="13"/>
        <v>-13.413849999948866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40400</v>
      </c>
      <c r="AI29" s="38">
        <v>33850</v>
      </c>
      <c r="AJ29" s="39">
        <f t="shared" si="14"/>
        <v>6550</v>
      </c>
      <c r="AK29" s="39">
        <f>AG18-AJ29</f>
        <v>585</v>
      </c>
      <c r="AL29" s="40">
        <f>AG18*0.085</f>
        <v>606.47500000000002</v>
      </c>
      <c r="AM29" s="40">
        <f t="shared" si="15"/>
        <v>-21.475000000000023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9950</v>
      </c>
      <c r="G30" s="38">
        <v>4250</v>
      </c>
      <c r="H30" s="39">
        <f t="shared" si="12"/>
        <v>5700</v>
      </c>
      <c r="I30" s="39">
        <f>E21-H30</f>
        <v>418.40999999997439</v>
      </c>
      <c r="J30" s="40">
        <f>E21*0.085</f>
        <v>520.06484999999782</v>
      </c>
      <c r="K30" s="40">
        <f t="shared" si="13"/>
        <v>-101.65485000002343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9950</v>
      </c>
      <c r="AI30" s="38">
        <v>4250</v>
      </c>
      <c r="AJ30" s="39">
        <f t="shared" si="14"/>
        <v>5700</v>
      </c>
      <c r="AK30" s="39">
        <f>AG21-AJ30</f>
        <v>418</v>
      </c>
      <c r="AL30" s="40">
        <f>AG21*0.085</f>
        <v>520.03000000000009</v>
      </c>
      <c r="AM30" s="40">
        <f t="shared" si="15"/>
        <v>-102.03000000000009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0</v>
      </c>
      <c r="C33" s="16">
        <v>0</v>
      </c>
      <c r="D33" s="16">
        <v>0</v>
      </c>
      <c r="E33" s="16">
        <v>187500</v>
      </c>
      <c r="F33" s="16">
        <v>0</v>
      </c>
      <c r="G33" s="16">
        <v>0</v>
      </c>
      <c r="H33" s="49">
        <v>0</v>
      </c>
      <c r="I33" s="16">
        <v>0</v>
      </c>
      <c r="J33" s="16">
        <v>169030</v>
      </c>
      <c r="K33" s="16">
        <v>0</v>
      </c>
      <c r="L33" s="16">
        <v>854390.68</v>
      </c>
      <c r="M33" s="16">
        <v>17365157.379999999</v>
      </c>
      <c r="N33" s="16">
        <v>611420</v>
      </c>
      <c r="O33" s="16">
        <v>0</v>
      </c>
      <c r="P33" s="16">
        <v>4746763</v>
      </c>
      <c r="Q33" s="16">
        <v>0</v>
      </c>
      <c r="R33" s="49">
        <v>4205841</v>
      </c>
      <c r="S33" s="16">
        <v>0</v>
      </c>
      <c r="T33" s="16">
        <v>9457561.7300000004</v>
      </c>
      <c r="U33" s="42">
        <f>SUM(S22-A33-B33-W27-C33-D33-E33-F33-G33-H33-I33-J33-K33-L33-M33-N33-O33-P33-Q33-R33-J35-K35-L35-M35-N35-O35-P35-Q35-S33+T33)</f>
        <v>13735799.189999914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441525</v>
      </c>
      <c r="N35" s="16">
        <v>0</v>
      </c>
      <c r="O35" s="16">
        <v>1231888</v>
      </c>
      <c r="P35" s="16">
        <v>793058.4</v>
      </c>
      <c r="Q35" s="16">
        <v>835210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D13" workbookViewId="0">
      <selection activeCell="N34" sqref="N34"/>
    </sheetView>
  </sheetViews>
  <sheetFormatPr defaultRowHeight="15" x14ac:dyDescent="0.25"/>
  <cols>
    <col min="1" max="1" width="9.7109375" bestFit="1" customWidth="1"/>
    <col min="7" max="7" width="10" bestFit="1" customWidth="1"/>
    <col min="10" max="10" width="10.85546875" bestFit="1" customWidth="1"/>
    <col min="11" max="11" width="10" bestFit="1" customWidth="1"/>
    <col min="13" max="13" width="10" bestFit="1" customWidth="1"/>
    <col min="19" max="19" width="12.28515625" customWidth="1"/>
    <col min="20" max="20" width="12.85546875" customWidth="1"/>
    <col min="21" max="21" width="13.28515625" customWidth="1"/>
  </cols>
  <sheetData>
    <row r="1" spans="1:51" x14ac:dyDescent="0.25">
      <c r="A1" s="1">
        <v>46283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1053746.48</v>
      </c>
      <c r="G4" s="4">
        <v>1054680.04</v>
      </c>
      <c r="H4" s="4">
        <v>1054791</v>
      </c>
      <c r="I4" s="4"/>
      <c r="J4" s="4"/>
      <c r="K4" s="10">
        <f>G4-F4</f>
        <v>933.56000000005588</v>
      </c>
      <c r="L4" s="6">
        <v>1374</v>
      </c>
      <c r="M4" s="10">
        <f>H4-G4</f>
        <v>110.95999999996275</v>
      </c>
      <c r="N4" s="6">
        <v>1359</v>
      </c>
      <c r="O4" s="10">
        <f>I4</f>
        <v>0</v>
      </c>
      <c r="P4" s="6"/>
      <c r="Q4" s="10">
        <f>J4-I4</f>
        <v>0</v>
      </c>
      <c r="R4" s="6"/>
      <c r="S4" s="10">
        <f>(K4*L4)+(M4*N4)+(O4*P4)+(Q4*R4)</f>
        <v>1433506.0800000262</v>
      </c>
      <c r="T4" s="6"/>
      <c r="U4" s="7" t="s">
        <v>9</v>
      </c>
      <c r="V4" s="11">
        <f>E6+E9+E12+E15</f>
        <v>8541.600000000326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1053774</v>
      </c>
      <c r="AI4" s="4">
        <v>1054818</v>
      </c>
      <c r="AJ4" s="4">
        <v>1054818</v>
      </c>
      <c r="AK4" s="4"/>
      <c r="AL4" s="4"/>
      <c r="AM4" s="10">
        <f>AI4-AH4</f>
        <v>1044</v>
      </c>
      <c r="AN4" s="6">
        <v>1359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1418796</v>
      </c>
      <c r="AV4" s="6"/>
      <c r="AW4" s="7" t="s">
        <v>9</v>
      </c>
      <c r="AX4" s="11">
        <f>AG6+AG9+AG12+AG15</f>
        <v>8543</v>
      </c>
      <c r="AY4" s="11"/>
    </row>
    <row r="5" spans="1:51" x14ac:dyDescent="0.25">
      <c r="C5" s="2"/>
      <c r="D5" s="4"/>
      <c r="E5" s="4" t="s">
        <v>11</v>
      </c>
      <c r="F5" s="4">
        <v>1343445.32</v>
      </c>
      <c r="G5" s="4">
        <v>1344975.59</v>
      </c>
      <c r="H5" s="4">
        <v>1345169.86</v>
      </c>
      <c r="I5" s="4"/>
      <c r="J5" s="4"/>
      <c r="K5" s="10">
        <f>G5-F5</f>
        <v>1530.2700000000186</v>
      </c>
      <c r="L5" s="6">
        <v>1374</v>
      </c>
      <c r="M5" s="10">
        <f>H5-G5</f>
        <v>194.27000000001863</v>
      </c>
      <c r="N5" s="6">
        <v>1359</v>
      </c>
      <c r="O5" s="10">
        <f>I5</f>
        <v>0</v>
      </c>
      <c r="P5" s="6"/>
      <c r="Q5" s="10">
        <f>J5-I5</f>
        <v>0</v>
      </c>
      <c r="R5" s="6"/>
      <c r="S5" s="10">
        <f>(K5*L5)+(M5*N5)+(O5*P5)+(Q5*R5)</f>
        <v>2366603.9100000509</v>
      </c>
      <c r="T5" s="6"/>
      <c r="U5" s="7" t="s">
        <v>12</v>
      </c>
      <c r="V5" s="15">
        <f>E18+E21</f>
        <v>16236.679999999993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1343480</v>
      </c>
      <c r="AI5" s="4">
        <v>1345204</v>
      </c>
      <c r="AJ5" s="4">
        <v>1345204</v>
      </c>
      <c r="AK5" s="4"/>
      <c r="AL5" s="4"/>
      <c r="AM5" s="10">
        <f>AI5-AH5</f>
        <v>1724</v>
      </c>
      <c r="AN5" s="6">
        <v>1359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2342916</v>
      </c>
      <c r="AV5" s="6"/>
      <c r="AW5" s="7" t="s">
        <v>12</v>
      </c>
      <c r="AX5" s="15">
        <f>AG18+AG21</f>
        <v>16246</v>
      </c>
      <c r="AY5" s="15"/>
    </row>
    <row r="6" spans="1:51" x14ac:dyDescent="0.25">
      <c r="C6" s="2"/>
      <c r="D6" s="18" t="s">
        <v>14</v>
      </c>
      <c r="E6" s="3">
        <f>K6+M6+O6+Q6</f>
        <v>2769.0600000000559</v>
      </c>
      <c r="F6" s="4"/>
      <c r="G6" s="4"/>
      <c r="H6" s="4"/>
      <c r="I6" s="4"/>
      <c r="J6" s="4"/>
      <c r="K6" s="19">
        <f>SUM(K4:K5)</f>
        <v>2463.8300000000745</v>
      </c>
      <c r="L6" s="6"/>
      <c r="M6" s="19">
        <f>SUM(M4:M5)</f>
        <v>305.22999999998137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2768</v>
      </c>
      <c r="AH6" s="4"/>
      <c r="AI6" s="4"/>
      <c r="AJ6" s="4"/>
      <c r="AK6" s="4"/>
      <c r="AL6" s="4"/>
      <c r="AM6" s="19">
        <f>SUM(AM4:AM5)</f>
        <v>2768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718858.41</v>
      </c>
      <c r="G7" s="4">
        <v>719324.06</v>
      </c>
      <c r="H7" s="4">
        <v>719392.44</v>
      </c>
      <c r="I7" s="4"/>
      <c r="J7" s="4"/>
      <c r="K7" s="10">
        <f>G7-F7</f>
        <v>465.65000000002328</v>
      </c>
      <c r="L7" s="6">
        <v>1374</v>
      </c>
      <c r="M7" s="10">
        <f>H7-G7</f>
        <v>68.379999999888241</v>
      </c>
      <c r="N7" s="6">
        <v>1359</v>
      </c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732731.51999988011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718900</v>
      </c>
      <c r="AI7" s="4">
        <v>719434</v>
      </c>
      <c r="AJ7" s="4">
        <v>719434</v>
      </c>
      <c r="AK7" s="4"/>
      <c r="AL7" s="4"/>
      <c r="AM7" s="10">
        <f>AI7-AH7</f>
        <v>534</v>
      </c>
      <c r="AN7" s="6">
        <v>1359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725706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1120288.8899999999</v>
      </c>
      <c r="G8" s="6">
        <v>1121956.27</v>
      </c>
      <c r="H8" s="6">
        <v>1122443.04</v>
      </c>
      <c r="I8" s="6"/>
      <c r="J8" s="6"/>
      <c r="K8" s="10">
        <f>G8-F8</f>
        <v>1667.3800000001211</v>
      </c>
      <c r="L8" s="6">
        <v>1374</v>
      </c>
      <c r="M8" s="10">
        <f>H8-G8</f>
        <v>486.77000000001863</v>
      </c>
      <c r="N8" s="6">
        <v>1359</v>
      </c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2952500.5500001917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1120331</v>
      </c>
      <c r="AI8" s="6">
        <v>1122488</v>
      </c>
      <c r="AJ8" s="6">
        <v>1122488</v>
      </c>
      <c r="AK8" s="6"/>
      <c r="AL8" s="6"/>
      <c r="AM8" s="10">
        <f>AI8-AH8</f>
        <v>2157</v>
      </c>
      <c r="AN8" s="6">
        <v>1359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2931363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2688.1800000000512</v>
      </c>
      <c r="F9" s="4"/>
      <c r="G9" s="4"/>
      <c r="H9" s="4"/>
      <c r="I9" s="4"/>
      <c r="J9" s="4"/>
      <c r="K9" s="19">
        <f>SUM(K7:K8)</f>
        <v>2133.0300000001444</v>
      </c>
      <c r="L9" s="6"/>
      <c r="M9" s="19">
        <f>SUM(M7:M8)</f>
        <v>555.14999999990687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2691</v>
      </c>
      <c r="AH9" s="4"/>
      <c r="AI9" s="4"/>
      <c r="AJ9" s="4"/>
      <c r="AK9" s="4"/>
      <c r="AL9" s="4"/>
      <c r="AM9" s="19">
        <f>SUM(AM7:AM8)</f>
        <v>2691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605185.14</v>
      </c>
      <c r="G10" s="6">
        <v>605795.82999999996</v>
      </c>
      <c r="H10" s="6">
        <v>605914.92000000004</v>
      </c>
      <c r="I10" s="6"/>
      <c r="J10" s="6"/>
      <c r="K10" s="10">
        <f>G10-F10</f>
        <v>610.68999999994412</v>
      </c>
      <c r="L10" s="6">
        <v>1374</v>
      </c>
      <c r="M10" s="10">
        <f>H10-G10</f>
        <v>119.09000000008382</v>
      </c>
      <c r="N10" s="6">
        <v>1359</v>
      </c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1000931.3700000371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605191</v>
      </c>
      <c r="AI10" s="6">
        <v>605921</v>
      </c>
      <c r="AJ10" s="6">
        <v>605921</v>
      </c>
      <c r="AK10" s="6"/>
      <c r="AL10" s="6"/>
      <c r="AM10" s="10">
        <f>AI10-AH10</f>
        <v>730</v>
      </c>
      <c r="AN10" s="6">
        <v>1359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992070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951893.69</v>
      </c>
      <c r="G11" s="6">
        <v>952652.27</v>
      </c>
      <c r="H11" s="6">
        <v>952812.66</v>
      </c>
      <c r="I11" s="6"/>
      <c r="J11" s="6"/>
      <c r="K11" s="10">
        <f>G11-F11</f>
        <v>758.58000000007451</v>
      </c>
      <c r="L11" s="6">
        <v>1374</v>
      </c>
      <c r="M11" s="10">
        <f>H11-G11</f>
        <v>160.39000000001397</v>
      </c>
      <c r="N11" s="6">
        <v>1359</v>
      </c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1260258.9300001212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951935</v>
      </c>
      <c r="AI11" s="6">
        <v>952854</v>
      </c>
      <c r="AJ11" s="6">
        <v>952854</v>
      </c>
      <c r="AK11" s="6"/>
      <c r="AL11" s="6"/>
      <c r="AM11" s="10">
        <f>AI11-AH11</f>
        <v>919</v>
      </c>
      <c r="AN11" s="6">
        <v>1359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1248921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1648.7500000001164</v>
      </c>
      <c r="F12" s="4"/>
      <c r="G12" s="4"/>
      <c r="H12" s="4"/>
      <c r="I12" s="4"/>
      <c r="J12" s="4"/>
      <c r="K12" s="19">
        <f>SUM(K10:K11)</f>
        <v>1369.2700000000186</v>
      </c>
      <c r="L12" s="6"/>
      <c r="M12" s="19">
        <f>SUM(M10:M11)</f>
        <v>279.48000000009779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1649</v>
      </c>
      <c r="AH12" s="4"/>
      <c r="AI12" s="4"/>
      <c r="AJ12" s="4"/>
      <c r="AK12" s="4"/>
      <c r="AL12" s="4"/>
      <c r="AM12" s="19">
        <f>SUM(AM10:AM11)</f>
        <v>1649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535526</v>
      </c>
      <c r="G13" s="6">
        <v>535605.63</v>
      </c>
      <c r="H13" s="6">
        <v>535627.68000000005</v>
      </c>
      <c r="I13" s="6"/>
      <c r="J13" s="6"/>
      <c r="K13" s="10">
        <f>G13-F13</f>
        <v>79.630000000004657</v>
      </c>
      <c r="L13" s="6">
        <v>1374</v>
      </c>
      <c r="M13" s="10">
        <f>H13-G13</f>
        <v>22.050000000046566</v>
      </c>
      <c r="N13" s="6">
        <v>1359</v>
      </c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139377.57000006968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535568</v>
      </c>
      <c r="AI13" s="6">
        <v>535669</v>
      </c>
      <c r="AJ13" s="6">
        <v>535669</v>
      </c>
      <c r="AK13" s="6"/>
      <c r="AL13" s="6"/>
      <c r="AM13" s="10">
        <f>AI13-AH13</f>
        <v>101</v>
      </c>
      <c r="AN13" s="6">
        <v>1359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137259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940235.23</v>
      </c>
      <c r="G14" s="4">
        <v>941423.36</v>
      </c>
      <c r="H14" s="4">
        <v>941569.16</v>
      </c>
      <c r="I14" s="4"/>
      <c r="J14" s="4"/>
      <c r="K14" s="10">
        <f>G14-F14</f>
        <v>1188.1300000000047</v>
      </c>
      <c r="L14" s="6">
        <v>1374</v>
      </c>
      <c r="M14" s="10">
        <f>H14-G14</f>
        <v>145.80000000004657</v>
      </c>
      <c r="N14" s="6">
        <v>1359</v>
      </c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1830632.8200000697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940267</v>
      </c>
      <c r="AI14" s="4">
        <v>941601</v>
      </c>
      <c r="AJ14" s="4">
        <v>941601</v>
      </c>
      <c r="AK14" s="4"/>
      <c r="AL14" s="4"/>
      <c r="AM14" s="10">
        <f>AI14-AH14</f>
        <v>1334</v>
      </c>
      <c r="AN14" s="6">
        <v>1359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1812906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1435.6100000001024</v>
      </c>
      <c r="F15" s="4"/>
      <c r="G15" s="4"/>
      <c r="H15" s="4"/>
      <c r="I15" s="4"/>
      <c r="J15" s="4"/>
      <c r="K15" s="19">
        <f>SUM(K13:K14)</f>
        <v>1267.7600000000093</v>
      </c>
      <c r="L15" s="6"/>
      <c r="M15" s="19">
        <f>SUM(M13:M14)</f>
        <v>167.85000000009313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1435</v>
      </c>
      <c r="AH15" s="4"/>
      <c r="AI15" s="4"/>
      <c r="AJ15" s="4"/>
      <c r="AK15" s="4"/>
      <c r="AL15" s="4"/>
      <c r="AM15" s="19">
        <f>SUM(AM13:AM14)</f>
        <v>1435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735206.97</v>
      </c>
      <c r="G16" s="4">
        <v>738235.25</v>
      </c>
      <c r="H16" s="4">
        <v>742489.39</v>
      </c>
      <c r="I16" s="4"/>
      <c r="J16" s="4"/>
      <c r="K16" s="10">
        <f>G16-F16</f>
        <v>3028.2800000000279</v>
      </c>
      <c r="L16" s="6">
        <v>1869</v>
      </c>
      <c r="M16" s="10">
        <f>H16-G16</f>
        <v>4254.140000000014</v>
      </c>
      <c r="N16" s="6">
        <v>1857</v>
      </c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13559793.300000079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2089570</v>
      </c>
      <c r="AI16" s="4">
        <v>2096861</v>
      </c>
      <c r="AJ16" s="4">
        <v>2096861</v>
      </c>
      <c r="AK16" s="4"/>
      <c r="AL16" s="4"/>
      <c r="AM16" s="10">
        <f>AI16-AH16</f>
        <v>7291</v>
      </c>
      <c r="AN16" s="6">
        <v>1857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13539387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729794.43</v>
      </c>
      <c r="G17" s="6">
        <v>732263.94</v>
      </c>
      <c r="H17" s="6">
        <v>735166.74</v>
      </c>
      <c r="I17" s="6"/>
      <c r="J17" s="6"/>
      <c r="K17" s="10">
        <f>G17-F17</f>
        <v>2469.5099999998929</v>
      </c>
      <c r="L17" s="6">
        <v>1869</v>
      </c>
      <c r="M17" s="10">
        <f>H17-G17</f>
        <v>2902.8000000000466</v>
      </c>
      <c r="N17" s="6">
        <v>1857</v>
      </c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10006013.789999887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1763236</v>
      </c>
      <c r="AI17" s="6">
        <v>1768608</v>
      </c>
      <c r="AJ17" s="6">
        <v>1768608</v>
      </c>
      <c r="AK17" s="6"/>
      <c r="AL17" s="6"/>
      <c r="AM17" s="10">
        <f>AI17-AH17</f>
        <v>5372</v>
      </c>
      <c r="AN17" s="6">
        <v>1857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9975804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12654.729999999981</v>
      </c>
      <c r="F18" s="4"/>
      <c r="G18" s="4"/>
      <c r="H18" s="4"/>
      <c r="I18" s="4"/>
      <c r="J18" s="4"/>
      <c r="K18" s="19">
        <f>SUM(K16:K17)</f>
        <v>5497.7899999999208</v>
      </c>
      <c r="L18" s="6"/>
      <c r="M18" s="19">
        <f>SUM(M16:M17)</f>
        <v>7156.9400000000605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12663</v>
      </c>
      <c r="AH18" s="4"/>
      <c r="AI18" s="4"/>
      <c r="AJ18" s="4"/>
      <c r="AK18" s="4"/>
      <c r="AL18" s="4"/>
      <c r="AM18" s="19">
        <f>SUM(AM16:AM17)</f>
        <v>12663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430557.91</v>
      </c>
      <c r="G19" s="6">
        <v>432126.11</v>
      </c>
      <c r="H19" s="6">
        <v>432126.11</v>
      </c>
      <c r="I19" s="6"/>
      <c r="J19" s="6"/>
      <c r="K19" s="10">
        <f t="shared" ref="K19:K20" si="8">G19-F19</f>
        <v>1568.2000000000116</v>
      </c>
      <c r="L19" s="6">
        <v>1869</v>
      </c>
      <c r="M19" s="10">
        <f>H19-G19</f>
        <v>0</v>
      </c>
      <c r="N19" s="6">
        <v>1857</v>
      </c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2930965.8000000217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1270569</v>
      </c>
      <c r="AI19" s="6">
        <v>1272138</v>
      </c>
      <c r="AJ19" s="6">
        <v>1272138</v>
      </c>
      <c r="AK19" s="6"/>
      <c r="AL19" s="6"/>
      <c r="AM19" s="10">
        <f t="shared" ref="AM19:AM20" si="10">AI19-AH19</f>
        <v>1569</v>
      </c>
      <c r="AN19" s="6">
        <v>1857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2913633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517179.57</v>
      </c>
      <c r="G20" s="6">
        <v>519193.32</v>
      </c>
      <c r="H20" s="6">
        <v>519193.32</v>
      </c>
      <c r="I20" s="6"/>
      <c r="J20" s="6"/>
      <c r="K20" s="10">
        <f t="shared" si="8"/>
        <v>2013.75</v>
      </c>
      <c r="L20" s="6">
        <v>1869</v>
      </c>
      <c r="M20" s="10">
        <f>H20-G20</f>
        <v>0</v>
      </c>
      <c r="N20" s="6">
        <v>1857</v>
      </c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3763698.75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1291708</v>
      </c>
      <c r="AI20" s="6">
        <v>1293722</v>
      </c>
      <c r="AJ20" s="6">
        <v>1293722</v>
      </c>
      <c r="AK20" s="6"/>
      <c r="AL20" s="6"/>
      <c r="AM20" s="10">
        <f t="shared" si="10"/>
        <v>2014</v>
      </c>
      <c r="AN20" s="6">
        <v>1857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3739998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3581.9500000000116</v>
      </c>
      <c r="F21" s="4"/>
      <c r="G21" s="4"/>
      <c r="H21" s="4"/>
      <c r="I21" s="4"/>
      <c r="J21" s="4"/>
      <c r="K21" s="19">
        <f>SUM(K19:K20)</f>
        <v>3581.9500000000116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3583</v>
      </c>
      <c r="AH21" s="4"/>
      <c r="AI21" s="4"/>
      <c r="AJ21" s="4"/>
      <c r="AK21" s="4"/>
      <c r="AL21" s="4"/>
      <c r="AM21" s="19">
        <f>SUM(AM19:AM20)</f>
        <v>3583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29045.310000000347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41977014.390000433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45995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41778759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40350</v>
      </c>
      <c r="G25" s="38">
        <v>37900</v>
      </c>
      <c r="H25" s="39">
        <f t="shared" ref="H25:H30" si="12">F25+V8-G25</f>
        <v>2450</v>
      </c>
      <c r="I25" s="39">
        <f>E6-H25</f>
        <v>319.06000000005588</v>
      </c>
      <c r="J25" s="40">
        <f>E6*0.085</f>
        <v>235.37010000000475</v>
      </c>
      <c r="K25" s="40">
        <f t="shared" ref="K25:K30" si="13">I25-J25</f>
        <v>83.689900000051125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40350</v>
      </c>
      <c r="AI25" s="38">
        <v>37900</v>
      </c>
      <c r="AJ25" s="39">
        <f t="shared" ref="AJ25:AJ30" si="14">AH25+AX8-AI25</f>
        <v>2450</v>
      </c>
      <c r="AK25" s="39">
        <f>AG6-AJ25</f>
        <v>318</v>
      </c>
      <c r="AL25" s="40">
        <f>AG6*0.085</f>
        <v>235.28000000000003</v>
      </c>
      <c r="AM25" s="40">
        <f t="shared" ref="AM25:AM30" si="15">AK25-AL25</f>
        <v>82.71999999999997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24600</v>
      </c>
      <c r="G26" s="38">
        <v>22100</v>
      </c>
      <c r="H26" s="39">
        <f t="shared" si="12"/>
        <v>2500</v>
      </c>
      <c r="I26" s="39">
        <f>E9-H26</f>
        <v>188.18000000005122</v>
      </c>
      <c r="J26" s="40">
        <f>E9*0.085</f>
        <v>228.49530000000436</v>
      </c>
      <c r="K26" s="40">
        <f t="shared" si="13"/>
        <v>-40.31529999995314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24600</v>
      </c>
      <c r="AI26" s="38">
        <v>22100</v>
      </c>
      <c r="AJ26" s="39">
        <f t="shared" si="14"/>
        <v>2500</v>
      </c>
      <c r="AK26" s="39">
        <f>AG9-AJ26</f>
        <v>191</v>
      </c>
      <c r="AL26" s="40">
        <f>AG9*0.085</f>
        <v>228.73500000000001</v>
      </c>
      <c r="AM26" s="40">
        <f t="shared" si="15"/>
        <v>-37.735000000000014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21300</v>
      </c>
      <c r="G27" s="38">
        <v>19800</v>
      </c>
      <c r="H27" s="39">
        <f t="shared" si="12"/>
        <v>1500</v>
      </c>
      <c r="I27" s="39">
        <f>E12-H27</f>
        <v>148.75000000011642</v>
      </c>
      <c r="J27" s="40">
        <f>E12*0.085</f>
        <v>140.1437500000099</v>
      </c>
      <c r="K27" s="40">
        <f t="shared" si="13"/>
        <v>8.6062500001065132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21300</v>
      </c>
      <c r="AI27" s="38">
        <v>19800</v>
      </c>
      <c r="AJ27" s="39">
        <f t="shared" si="14"/>
        <v>1500</v>
      </c>
      <c r="AK27" s="39">
        <f>AG12-AJ27</f>
        <v>149</v>
      </c>
      <c r="AL27" s="40">
        <f>AG12*0.085</f>
        <v>140.16500000000002</v>
      </c>
      <c r="AM27" s="40">
        <f t="shared" si="15"/>
        <v>8.8349999999999795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14050</v>
      </c>
      <c r="G28" s="38">
        <v>12650</v>
      </c>
      <c r="H28" s="39">
        <f t="shared" si="12"/>
        <v>1400</v>
      </c>
      <c r="I28" s="39">
        <f>E15-H28</f>
        <v>35.610000000102445</v>
      </c>
      <c r="J28" s="40">
        <f>E15*0.085</f>
        <v>122.02685000000872</v>
      </c>
      <c r="K28" s="40">
        <f t="shared" si="13"/>
        <v>-86.416849999906276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14050</v>
      </c>
      <c r="AI28" s="38">
        <v>12650</v>
      </c>
      <c r="AJ28" s="39">
        <f t="shared" si="14"/>
        <v>1400</v>
      </c>
      <c r="AK28" s="39">
        <f>AG15-AJ28</f>
        <v>35</v>
      </c>
      <c r="AL28" s="40">
        <f>AG15*0.085</f>
        <v>121.97500000000001</v>
      </c>
      <c r="AM28" s="40">
        <f t="shared" si="15"/>
        <v>-86.975000000000009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33850</v>
      </c>
      <c r="G29" s="38">
        <v>22000</v>
      </c>
      <c r="H29" s="39">
        <f>F29+V12-G29</f>
        <v>11850</v>
      </c>
      <c r="I29" s="39">
        <f>E18-H29</f>
        <v>804.72999999998137</v>
      </c>
      <c r="J29" s="40">
        <f>E18*0.085</f>
        <v>1075.6520499999986</v>
      </c>
      <c r="K29" s="40">
        <f t="shared" si="13"/>
        <v>-270.92205000001718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33850</v>
      </c>
      <c r="AI29" s="38">
        <v>22000</v>
      </c>
      <c r="AJ29" s="39">
        <f t="shared" si="14"/>
        <v>11850</v>
      </c>
      <c r="AK29" s="39">
        <f>AG18-AJ29</f>
        <v>813</v>
      </c>
      <c r="AL29" s="40">
        <f>AG18*0.085</f>
        <v>1076.355</v>
      </c>
      <c r="AM29" s="40">
        <f t="shared" si="15"/>
        <v>-263.35500000000002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4250</v>
      </c>
      <c r="G30" s="38">
        <v>900</v>
      </c>
      <c r="H30" s="39">
        <f t="shared" si="12"/>
        <v>3350</v>
      </c>
      <c r="I30" s="39">
        <f>E21-H30</f>
        <v>231.95000000001164</v>
      </c>
      <c r="J30" s="40">
        <f>E21*0.085</f>
        <v>304.46575000000104</v>
      </c>
      <c r="K30" s="40">
        <f t="shared" si="13"/>
        <v>-72.515749999989396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4250</v>
      </c>
      <c r="AI30" s="38">
        <v>900</v>
      </c>
      <c r="AJ30" s="39">
        <f t="shared" si="14"/>
        <v>3350</v>
      </c>
      <c r="AK30" s="39">
        <f>AG21-AJ30</f>
        <v>233</v>
      </c>
      <c r="AL30" s="40">
        <f>AG21*0.085</f>
        <v>304.55500000000001</v>
      </c>
      <c r="AM30" s="40">
        <f t="shared" si="15"/>
        <v>-71.555000000000007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0</v>
      </c>
      <c r="C33" s="16">
        <v>0</v>
      </c>
      <c r="D33" s="16">
        <v>0</v>
      </c>
      <c r="E33" s="16">
        <v>0</v>
      </c>
      <c r="F33" s="16">
        <v>684427.84</v>
      </c>
      <c r="G33" s="16">
        <v>2574980</v>
      </c>
      <c r="H33" s="49">
        <v>825383.92</v>
      </c>
      <c r="I33" s="16">
        <v>196300</v>
      </c>
      <c r="J33" s="16">
        <v>21639671</v>
      </c>
      <c r="K33" s="16">
        <v>1596786.5</v>
      </c>
      <c r="L33" s="16">
        <v>0</v>
      </c>
      <c r="M33" s="16">
        <v>2616370</v>
      </c>
      <c r="N33" s="16">
        <v>0</v>
      </c>
      <c r="O33" s="16">
        <v>26000</v>
      </c>
      <c r="P33" s="16">
        <v>0</v>
      </c>
      <c r="Q33" s="16">
        <v>855658</v>
      </c>
      <c r="R33" s="49">
        <v>0</v>
      </c>
      <c r="S33" s="16">
        <v>626400</v>
      </c>
      <c r="T33" s="16">
        <v>13735799.189999914</v>
      </c>
      <c r="U33" s="42">
        <f>SUM(S22-A33-B33-W27-C33-D33-E33-F33-G33-H33-I33-J33-K33-L33-M33-N33-O33-P33-Q33-R33-J35-K35-L35-M35-N35-O35-P35-Q35-S33+T33)</f>
        <v>19925918.320000343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3519920</v>
      </c>
      <c r="K35" s="16"/>
      <c r="L35" s="16">
        <v>0</v>
      </c>
      <c r="M35" s="16">
        <v>0</v>
      </c>
      <c r="N35" s="16">
        <v>596498</v>
      </c>
      <c r="O35" s="16">
        <v>0</v>
      </c>
      <c r="P35" s="16">
        <v>0</v>
      </c>
      <c r="Q35" s="16">
        <v>28500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D14" workbookViewId="0">
      <selection activeCell="U36" sqref="U36"/>
    </sheetView>
  </sheetViews>
  <sheetFormatPr defaultRowHeight="15" x14ac:dyDescent="0.25"/>
  <cols>
    <col min="1" max="1" width="9.7109375" bestFit="1" customWidth="1"/>
    <col min="7" max="7" width="10" bestFit="1" customWidth="1"/>
    <col min="10" max="10" width="10.85546875" bestFit="1" customWidth="1"/>
    <col min="11" max="11" width="10" bestFit="1" customWidth="1"/>
    <col min="13" max="13" width="10.85546875" bestFit="1" customWidth="1"/>
    <col min="15" max="16" width="10" bestFit="1" customWidth="1"/>
    <col min="18" max="18" width="10" bestFit="1" customWidth="1"/>
    <col min="19" max="19" width="12.28515625" customWidth="1"/>
    <col min="20" max="20" width="12.85546875" customWidth="1"/>
    <col min="21" max="21" width="13.28515625" customWidth="1"/>
  </cols>
  <sheetData>
    <row r="1" spans="1:51" x14ac:dyDescent="0.25">
      <c r="A1" s="1">
        <v>46284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1054791</v>
      </c>
      <c r="G4" s="4">
        <v>1055878.8400000001</v>
      </c>
      <c r="H4" s="4">
        <v>1055878.8400000001</v>
      </c>
      <c r="I4" s="4"/>
      <c r="J4" s="4"/>
      <c r="K4" s="10">
        <f>G4-F4</f>
        <v>1087.8400000000838</v>
      </c>
      <c r="L4" s="6">
        <v>1359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1478374.5600001139</v>
      </c>
      <c r="T4" s="6"/>
      <c r="U4" s="7" t="s">
        <v>9</v>
      </c>
      <c r="V4" s="11">
        <f>E6+E9+E12+E15</f>
        <v>8022.4199999998091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1054818</v>
      </c>
      <c r="AI4" s="4">
        <v>1055906</v>
      </c>
      <c r="AJ4" s="4">
        <v>1055906</v>
      </c>
      <c r="AK4" s="4"/>
      <c r="AL4" s="4"/>
      <c r="AM4" s="10">
        <f>AI4-AH4</f>
        <v>1088</v>
      </c>
      <c r="AN4" s="6">
        <v>1359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1478592</v>
      </c>
      <c r="AV4" s="6"/>
      <c r="AW4" s="7" t="s">
        <v>9</v>
      </c>
      <c r="AX4" s="11">
        <f>AG6+AG9+AG12+AG15</f>
        <v>8020</v>
      </c>
      <c r="AY4" s="11"/>
    </row>
    <row r="5" spans="1:51" x14ac:dyDescent="0.25">
      <c r="C5" s="2"/>
      <c r="D5" s="4"/>
      <c r="E5" s="4" t="s">
        <v>11</v>
      </c>
      <c r="F5" s="4">
        <v>1345169.86</v>
      </c>
      <c r="G5" s="4">
        <v>1347026.98</v>
      </c>
      <c r="H5" s="4">
        <v>1347026.98</v>
      </c>
      <c r="I5" s="4"/>
      <c r="J5" s="4"/>
      <c r="K5" s="10">
        <f>G5-F5</f>
        <v>1857.1199999998789</v>
      </c>
      <c r="L5" s="6">
        <v>1359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2523826.0799998352</v>
      </c>
      <c r="T5" s="6"/>
      <c r="U5" s="7" t="s">
        <v>12</v>
      </c>
      <c r="V5" s="15">
        <f>E18+E21</f>
        <v>16175.610000000044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1345204</v>
      </c>
      <c r="AI5" s="4">
        <v>1347061</v>
      </c>
      <c r="AJ5" s="4">
        <v>1347061</v>
      </c>
      <c r="AK5" s="4"/>
      <c r="AL5" s="4"/>
      <c r="AM5" s="10">
        <f>AI5-AH5</f>
        <v>1857</v>
      </c>
      <c r="AN5" s="6">
        <v>1359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2523663</v>
      </c>
      <c r="AV5" s="6"/>
      <c r="AW5" s="7" t="s">
        <v>12</v>
      </c>
      <c r="AX5" s="15">
        <f>AG18+AG21</f>
        <v>16176</v>
      </c>
      <c r="AY5" s="15"/>
    </row>
    <row r="6" spans="1:51" x14ac:dyDescent="0.25">
      <c r="C6" s="2"/>
      <c r="D6" s="18" t="s">
        <v>14</v>
      </c>
      <c r="E6" s="3">
        <f>K6+M6+O6+Q6</f>
        <v>2944.9599999999627</v>
      </c>
      <c r="F6" s="4"/>
      <c r="G6" s="4"/>
      <c r="H6" s="4"/>
      <c r="I6" s="4"/>
      <c r="J6" s="4"/>
      <c r="K6" s="19">
        <f>SUM(K4:K5)</f>
        <v>2944.9599999999627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2945</v>
      </c>
      <c r="AH6" s="4"/>
      <c r="AI6" s="4"/>
      <c r="AJ6" s="4"/>
      <c r="AK6" s="4"/>
      <c r="AL6" s="4"/>
      <c r="AM6" s="19">
        <f>SUM(AM4:AM5)</f>
        <v>2945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719392.44</v>
      </c>
      <c r="G7" s="4">
        <v>720140.06</v>
      </c>
      <c r="H7" s="4">
        <v>720140.06</v>
      </c>
      <c r="I7" s="4"/>
      <c r="J7" s="4"/>
      <c r="K7" s="10">
        <f>G7-F7</f>
        <v>747.62000000011176</v>
      </c>
      <c r="L7" s="6">
        <v>1359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1016015.5800001519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719434</v>
      </c>
      <c r="AI7" s="4">
        <v>720182</v>
      </c>
      <c r="AJ7" s="4">
        <v>720182</v>
      </c>
      <c r="AK7" s="4"/>
      <c r="AL7" s="4"/>
      <c r="AM7" s="10">
        <f>AI7-AH7</f>
        <v>748</v>
      </c>
      <c r="AN7" s="6">
        <v>1359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1016532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1122443.04</v>
      </c>
      <c r="G8" s="6">
        <v>1123643.17</v>
      </c>
      <c r="H8" s="6">
        <v>1123643.17</v>
      </c>
      <c r="I8" s="6"/>
      <c r="J8" s="6"/>
      <c r="K8" s="10">
        <f>G8-F8</f>
        <v>1200.1299999998882</v>
      </c>
      <c r="L8" s="6">
        <v>1359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1630976.6699998481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1122488</v>
      </c>
      <c r="AI8" s="6">
        <v>1123685</v>
      </c>
      <c r="AJ8" s="6">
        <v>1123685</v>
      </c>
      <c r="AK8" s="6"/>
      <c r="AL8" s="6"/>
      <c r="AM8" s="10">
        <f>AI8-AH8</f>
        <v>1197</v>
      </c>
      <c r="AN8" s="6">
        <v>1359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1626723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1947.75</v>
      </c>
      <c r="F9" s="4"/>
      <c r="G9" s="4"/>
      <c r="H9" s="4"/>
      <c r="I9" s="4"/>
      <c r="J9" s="4"/>
      <c r="K9" s="19">
        <f>SUM(K7:K8)</f>
        <v>1947.75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1945</v>
      </c>
      <c r="AH9" s="4"/>
      <c r="AI9" s="4"/>
      <c r="AJ9" s="4"/>
      <c r="AK9" s="4"/>
      <c r="AL9" s="4"/>
      <c r="AM9" s="19">
        <f>SUM(AM7:AM8)</f>
        <v>1945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605914.92000000004</v>
      </c>
      <c r="G10" s="6">
        <v>606713.43000000005</v>
      </c>
      <c r="H10" s="6">
        <v>606713.43000000005</v>
      </c>
      <c r="I10" s="6"/>
      <c r="J10" s="6"/>
      <c r="K10" s="10">
        <f>G10-F10</f>
        <v>798.51000000000931</v>
      </c>
      <c r="L10" s="6">
        <v>1359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1085175.0900000127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605921</v>
      </c>
      <c r="AI10" s="6">
        <v>606719</v>
      </c>
      <c r="AJ10" s="6">
        <v>606719</v>
      </c>
      <c r="AK10" s="6"/>
      <c r="AL10" s="6"/>
      <c r="AM10" s="10">
        <f>AI10-AH10</f>
        <v>798</v>
      </c>
      <c r="AN10" s="6">
        <v>1359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1084482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952812.66</v>
      </c>
      <c r="G11" s="6">
        <v>953702.57</v>
      </c>
      <c r="H11" s="6">
        <v>953702.57</v>
      </c>
      <c r="I11" s="6"/>
      <c r="J11" s="6"/>
      <c r="K11" s="10">
        <f>G11-F11</f>
        <v>889.90999999991618</v>
      </c>
      <c r="L11" s="6">
        <v>1359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1209387.6899998861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952854</v>
      </c>
      <c r="AI11" s="6">
        <v>953744</v>
      </c>
      <c r="AJ11" s="6">
        <v>953744</v>
      </c>
      <c r="AK11" s="6"/>
      <c r="AL11" s="6"/>
      <c r="AM11" s="10">
        <f>AI11-AH11</f>
        <v>890</v>
      </c>
      <c r="AN11" s="6">
        <v>1359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1209510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1688.4199999999255</v>
      </c>
      <c r="F12" s="4"/>
      <c r="G12" s="4"/>
      <c r="H12" s="4"/>
      <c r="I12" s="4"/>
      <c r="J12" s="4"/>
      <c r="K12" s="19">
        <f>SUM(K10:K11)</f>
        <v>1688.4199999999255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>
        <v>36600</v>
      </c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1688</v>
      </c>
      <c r="AH12" s="4"/>
      <c r="AI12" s="4"/>
      <c r="AJ12" s="4"/>
      <c r="AK12" s="4"/>
      <c r="AL12" s="4"/>
      <c r="AM12" s="19">
        <f>SUM(AM10:AM11)</f>
        <v>1688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>
        <v>36600</v>
      </c>
      <c r="AY12" s="23"/>
    </row>
    <row r="13" spans="1:51" x14ac:dyDescent="0.25">
      <c r="C13" s="2"/>
      <c r="D13" s="2"/>
      <c r="E13" s="4" t="s">
        <v>26</v>
      </c>
      <c r="F13" s="6">
        <v>535627.68000000005</v>
      </c>
      <c r="G13" s="6">
        <v>535938.59</v>
      </c>
      <c r="H13" s="6">
        <v>535938.59</v>
      </c>
      <c r="I13" s="6"/>
      <c r="J13" s="6"/>
      <c r="K13" s="10">
        <f>G13-F13</f>
        <v>310.90999999991618</v>
      </c>
      <c r="L13" s="6">
        <v>1359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422526.68999988609</v>
      </c>
      <c r="T13" s="6"/>
      <c r="U13" s="7" t="s">
        <v>27</v>
      </c>
      <c r="V13" s="23">
        <v>23450</v>
      </c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535669</v>
      </c>
      <c r="AI13" s="6">
        <v>535980</v>
      </c>
      <c r="AJ13" s="6">
        <v>535980</v>
      </c>
      <c r="AK13" s="6"/>
      <c r="AL13" s="6"/>
      <c r="AM13" s="10">
        <f>AI13-AH13</f>
        <v>311</v>
      </c>
      <c r="AN13" s="6">
        <v>1359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422649</v>
      </c>
      <c r="AV13" s="6"/>
      <c r="AW13" s="7" t="s">
        <v>27</v>
      </c>
      <c r="AX13" s="23">
        <v>23450</v>
      </c>
      <c r="AY13" s="23"/>
    </row>
    <row r="14" spans="1:51" x14ac:dyDescent="0.25">
      <c r="C14" s="2"/>
      <c r="D14" s="18"/>
      <c r="E14" s="4" t="s">
        <v>28</v>
      </c>
      <c r="F14" s="4">
        <v>941569.16</v>
      </c>
      <c r="G14" s="4">
        <v>942699.54</v>
      </c>
      <c r="H14" s="4">
        <v>942699.54</v>
      </c>
      <c r="I14" s="4"/>
      <c r="J14" s="4"/>
      <c r="K14" s="10">
        <f>G14-F14</f>
        <v>1130.3800000000047</v>
      </c>
      <c r="L14" s="6">
        <v>1359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1536186.4200000064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941601</v>
      </c>
      <c r="AI14" s="4">
        <v>942732</v>
      </c>
      <c r="AJ14" s="4">
        <v>942732</v>
      </c>
      <c r="AK14" s="4"/>
      <c r="AL14" s="4"/>
      <c r="AM14" s="10">
        <f>AI14-AH14</f>
        <v>1131</v>
      </c>
      <c r="AN14" s="6">
        <v>1359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1537029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1441.2899999999208</v>
      </c>
      <c r="F15" s="4"/>
      <c r="G15" s="4"/>
      <c r="H15" s="4"/>
      <c r="I15" s="4"/>
      <c r="J15" s="4"/>
      <c r="K15" s="19">
        <f>SUM(K13:K14)</f>
        <v>1441.2899999999208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1442</v>
      </c>
      <c r="AH15" s="4"/>
      <c r="AI15" s="4"/>
      <c r="AJ15" s="4"/>
      <c r="AK15" s="4"/>
      <c r="AL15" s="4"/>
      <c r="AM15" s="19">
        <f>SUM(AM13:AM14)</f>
        <v>1442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742489.39</v>
      </c>
      <c r="G16" s="4">
        <v>747949.15</v>
      </c>
      <c r="H16" s="4">
        <v>747949.15</v>
      </c>
      <c r="I16" s="4"/>
      <c r="J16" s="4"/>
      <c r="K16" s="10">
        <f>G16-F16</f>
        <v>5459.7600000000093</v>
      </c>
      <c r="L16" s="6">
        <v>1857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10138774.320000017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2096861</v>
      </c>
      <c r="AI16" s="4">
        <v>2102321</v>
      </c>
      <c r="AJ16" s="4">
        <v>2102321</v>
      </c>
      <c r="AK16" s="4"/>
      <c r="AL16" s="4"/>
      <c r="AM16" s="10">
        <f>AI16-AH16</f>
        <v>5460</v>
      </c>
      <c r="AN16" s="6">
        <v>1857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10139220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735166.74</v>
      </c>
      <c r="G17" s="6">
        <v>741356.13</v>
      </c>
      <c r="H17" s="6">
        <v>741356.13</v>
      </c>
      <c r="I17" s="6"/>
      <c r="J17" s="6"/>
      <c r="K17" s="10">
        <f>G17-F17</f>
        <v>6189.390000000014</v>
      </c>
      <c r="L17" s="6">
        <v>1857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11493697.230000027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1768608</v>
      </c>
      <c r="AI17" s="6">
        <v>1774798</v>
      </c>
      <c r="AJ17" s="6">
        <v>1774798</v>
      </c>
      <c r="AK17" s="6"/>
      <c r="AL17" s="6"/>
      <c r="AM17" s="10">
        <f>AI17-AH17</f>
        <v>6190</v>
      </c>
      <c r="AN17" s="6">
        <v>1857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11494830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11649.150000000023</v>
      </c>
      <c r="F18" s="4"/>
      <c r="G18" s="4"/>
      <c r="H18" s="4"/>
      <c r="I18" s="4"/>
      <c r="J18" s="4"/>
      <c r="K18" s="19">
        <f>SUM(K16:K17)</f>
        <v>11649.150000000023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11650</v>
      </c>
      <c r="AH18" s="4"/>
      <c r="AI18" s="4"/>
      <c r="AJ18" s="4"/>
      <c r="AK18" s="4"/>
      <c r="AL18" s="4"/>
      <c r="AM18" s="19">
        <f>SUM(AM16:AM17)</f>
        <v>11650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432126.11</v>
      </c>
      <c r="G19" s="6">
        <v>434197.2</v>
      </c>
      <c r="H19" s="6">
        <v>434197.2</v>
      </c>
      <c r="I19" s="6"/>
      <c r="J19" s="6"/>
      <c r="K19" s="10">
        <f t="shared" ref="K19:K20" si="8">G19-F19</f>
        <v>2071.0900000000256</v>
      </c>
      <c r="L19" s="6">
        <v>1857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3846014.1300000474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1272138</v>
      </c>
      <c r="AI19" s="6">
        <v>1274209</v>
      </c>
      <c r="AJ19" s="6">
        <v>1274209</v>
      </c>
      <c r="AK19" s="6"/>
      <c r="AL19" s="6"/>
      <c r="AM19" s="10">
        <f t="shared" ref="AM19:AM20" si="10">AI19-AH19</f>
        <v>2071</v>
      </c>
      <c r="AN19" s="6">
        <v>1857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3845847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519193.32</v>
      </c>
      <c r="G20" s="6">
        <v>521648.69</v>
      </c>
      <c r="H20" s="6">
        <v>521648.69</v>
      </c>
      <c r="I20" s="6"/>
      <c r="J20" s="6"/>
      <c r="K20" s="10">
        <f t="shared" si="8"/>
        <v>2455.3699999999953</v>
      </c>
      <c r="L20" s="6">
        <v>1857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4559622.0899999915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1293722</v>
      </c>
      <c r="AI20" s="6">
        <v>1296177</v>
      </c>
      <c r="AJ20" s="6">
        <v>1296177</v>
      </c>
      <c r="AK20" s="6"/>
      <c r="AL20" s="6"/>
      <c r="AM20" s="10">
        <f t="shared" si="10"/>
        <v>2455</v>
      </c>
      <c r="AN20" s="6">
        <v>1857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4558935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4526.460000000021</v>
      </c>
      <c r="F21" s="4"/>
      <c r="G21" s="4"/>
      <c r="H21" s="4"/>
      <c r="I21" s="4"/>
      <c r="J21" s="4"/>
      <c r="K21" s="19">
        <f>SUM(K19:K20)</f>
        <v>4526.460000000021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4526</v>
      </c>
      <c r="AH21" s="4"/>
      <c r="AI21" s="4"/>
      <c r="AJ21" s="4"/>
      <c r="AK21" s="4"/>
      <c r="AL21" s="4"/>
      <c r="AM21" s="19">
        <f>SUM(AM19:AM20)</f>
        <v>4526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43869.599999999686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40940576.549999818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43866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40938012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37900</v>
      </c>
      <c r="G25" s="38">
        <v>35050</v>
      </c>
      <c r="H25" s="39">
        <f t="shared" ref="H25:H30" si="12">F25+V8-G25</f>
        <v>2850</v>
      </c>
      <c r="I25" s="39">
        <f>E6-H25</f>
        <v>94.959999999962747</v>
      </c>
      <c r="J25" s="40">
        <f>E6*0.085</f>
        <v>250.32159999999686</v>
      </c>
      <c r="K25" s="40">
        <f t="shared" ref="K25:K30" si="13">I25-J25</f>
        <v>-155.36160000003412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37900</v>
      </c>
      <c r="AI25" s="38">
        <v>35050</v>
      </c>
      <c r="AJ25" s="39">
        <f t="shared" ref="AJ25:AJ30" si="14">AH25+AX8-AI25</f>
        <v>2850</v>
      </c>
      <c r="AK25" s="39">
        <f>AG6-AJ25</f>
        <v>95</v>
      </c>
      <c r="AL25" s="40">
        <f>AG6*0.085</f>
        <v>250.32500000000002</v>
      </c>
      <c r="AM25" s="40">
        <f t="shared" ref="AM25:AM30" si="15">AK25-AL25</f>
        <v>-155.32500000000002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22100</v>
      </c>
      <c r="G26" s="38">
        <v>20350</v>
      </c>
      <c r="H26" s="39">
        <f t="shared" si="12"/>
        <v>1750</v>
      </c>
      <c r="I26" s="39">
        <f>E9-H26</f>
        <v>197.75</v>
      </c>
      <c r="J26" s="40">
        <f>E9*0.085</f>
        <v>165.55875</v>
      </c>
      <c r="K26" s="40">
        <f t="shared" si="13"/>
        <v>32.191249999999997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22100</v>
      </c>
      <c r="AI26" s="38">
        <v>20350</v>
      </c>
      <c r="AJ26" s="39">
        <f t="shared" si="14"/>
        <v>1750</v>
      </c>
      <c r="AK26" s="39">
        <f>AG9-AJ26</f>
        <v>195</v>
      </c>
      <c r="AL26" s="40">
        <f>AG9*0.085</f>
        <v>165.32500000000002</v>
      </c>
      <c r="AM26" s="40">
        <f t="shared" si="15"/>
        <v>29.674999999999983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19800</v>
      </c>
      <c r="G27" s="38">
        <v>18250</v>
      </c>
      <c r="H27" s="39">
        <f t="shared" si="12"/>
        <v>1550</v>
      </c>
      <c r="I27" s="39">
        <f>E12-H27</f>
        <v>138.41999999992549</v>
      </c>
      <c r="J27" s="40">
        <f>E12*0.085</f>
        <v>143.51569999999367</v>
      </c>
      <c r="K27" s="40">
        <f t="shared" si="13"/>
        <v>-5.0957000000681774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19800</v>
      </c>
      <c r="AI27" s="38">
        <v>18250</v>
      </c>
      <c r="AJ27" s="39">
        <f t="shared" si="14"/>
        <v>1550</v>
      </c>
      <c r="AK27" s="39">
        <f>AG12-AJ27</f>
        <v>138</v>
      </c>
      <c r="AL27" s="40">
        <f>AG12*0.085</f>
        <v>143.48000000000002</v>
      </c>
      <c r="AM27" s="40">
        <f t="shared" si="15"/>
        <v>-5.4800000000000182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12650</v>
      </c>
      <c r="G28" s="38">
        <v>11350</v>
      </c>
      <c r="H28" s="39">
        <f t="shared" si="12"/>
        <v>1300</v>
      </c>
      <c r="I28" s="39">
        <f>E15-H28</f>
        <v>141.28999999992084</v>
      </c>
      <c r="J28" s="40">
        <f>E15*0.085</f>
        <v>122.50964999999329</v>
      </c>
      <c r="K28" s="40">
        <f t="shared" si="13"/>
        <v>18.780349999927552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12650</v>
      </c>
      <c r="AI28" s="38">
        <v>11350</v>
      </c>
      <c r="AJ28" s="39">
        <f t="shared" si="14"/>
        <v>1300</v>
      </c>
      <c r="AK28" s="39">
        <f>AG15-AJ28</f>
        <v>142</v>
      </c>
      <c r="AL28" s="40">
        <f>AG15*0.085</f>
        <v>122.57000000000001</v>
      </c>
      <c r="AM28" s="40">
        <f t="shared" si="15"/>
        <v>19.429999999999993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22000</v>
      </c>
      <c r="G29" s="38">
        <v>47350</v>
      </c>
      <c r="H29" s="39">
        <f>F29+V12-G29</f>
        <v>11250</v>
      </c>
      <c r="I29" s="39">
        <f>E18-H29</f>
        <v>399.15000000002328</v>
      </c>
      <c r="J29" s="40">
        <f>E18*0.085</f>
        <v>990.17775000000211</v>
      </c>
      <c r="K29" s="40">
        <f t="shared" si="13"/>
        <v>-591.02774999997882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22000</v>
      </c>
      <c r="AI29" s="38">
        <v>47350</v>
      </c>
      <c r="AJ29" s="39">
        <f t="shared" si="14"/>
        <v>11250</v>
      </c>
      <c r="AK29" s="39">
        <f>AG18-AJ29</f>
        <v>400</v>
      </c>
      <c r="AL29" s="40">
        <f>AG18*0.085</f>
        <v>990.25000000000011</v>
      </c>
      <c r="AM29" s="40">
        <f t="shared" si="15"/>
        <v>-590.25000000000011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900</v>
      </c>
      <c r="G30" s="38">
        <v>20000</v>
      </c>
      <c r="H30" s="39">
        <f t="shared" si="12"/>
        <v>4350</v>
      </c>
      <c r="I30" s="39">
        <f>E21-H30</f>
        <v>176.46000000002095</v>
      </c>
      <c r="J30" s="40">
        <f>E21*0.085</f>
        <v>384.74910000000182</v>
      </c>
      <c r="K30" s="40">
        <f t="shared" si="13"/>
        <v>-208.28909999998086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900</v>
      </c>
      <c r="AI30" s="38">
        <v>20000</v>
      </c>
      <c r="AJ30" s="39">
        <f t="shared" si="14"/>
        <v>4350</v>
      </c>
      <c r="AK30" s="39">
        <f>AG21-AJ30</f>
        <v>176</v>
      </c>
      <c r="AL30" s="40">
        <f>AG21*0.085</f>
        <v>384.71000000000004</v>
      </c>
      <c r="AM30" s="40">
        <f t="shared" si="15"/>
        <v>-208.71000000000004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0</v>
      </c>
      <c r="C33" s="16">
        <v>0</v>
      </c>
      <c r="D33" s="16">
        <v>0</v>
      </c>
      <c r="E33" s="16">
        <v>226474</v>
      </c>
      <c r="F33" s="16">
        <v>0</v>
      </c>
      <c r="G33" s="16">
        <v>0</v>
      </c>
      <c r="H33" s="49">
        <v>0</v>
      </c>
      <c r="I33" s="16">
        <v>0</v>
      </c>
      <c r="J33" s="16">
        <v>4722785</v>
      </c>
      <c r="K33" s="16">
        <v>0</v>
      </c>
      <c r="L33" s="16">
        <v>309900</v>
      </c>
      <c r="M33" s="16">
        <v>20137113.800000001</v>
      </c>
      <c r="N33" s="16">
        <v>769039</v>
      </c>
      <c r="O33" s="16">
        <v>0</v>
      </c>
      <c r="P33" s="16">
        <v>2699841</v>
      </c>
      <c r="Q33" s="16">
        <v>0</v>
      </c>
      <c r="R33" s="49">
        <v>2232995</v>
      </c>
      <c r="S33" s="16">
        <v>0</v>
      </c>
      <c r="T33" s="16">
        <v>19925918.32</v>
      </c>
      <c r="U33" s="42">
        <f>SUM(S22-A33-B33-W27-C33-D33-E33-F33-G33-H33-I33-J33-K33-L33-M33-N33-O33-P33-Q33-R33-J35-K35-L35-M35-N35-O35-P35-Q35-S33+T33)</f>
        <v>26902442.659999818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579970</v>
      </c>
      <c r="N35" s="16">
        <v>0</v>
      </c>
      <c r="O35" s="16">
        <v>1236762</v>
      </c>
      <c r="P35" s="16">
        <v>369016.41</v>
      </c>
      <c r="Q35" s="16">
        <v>680156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E15" workbookViewId="0">
      <selection activeCell="U36" sqref="U36"/>
    </sheetView>
  </sheetViews>
  <sheetFormatPr defaultRowHeight="15" x14ac:dyDescent="0.25"/>
  <cols>
    <col min="1" max="1" width="9.7109375" bestFit="1" customWidth="1"/>
    <col min="7" max="8" width="10" bestFit="1" customWidth="1"/>
    <col min="10" max="10" width="10.85546875" bestFit="1" customWidth="1"/>
    <col min="11" max="11" width="10" bestFit="1" customWidth="1"/>
    <col min="13" max="13" width="10.85546875" bestFit="1" customWidth="1"/>
    <col min="15" max="16" width="10" bestFit="1" customWidth="1"/>
    <col min="18" max="18" width="10" bestFit="1" customWidth="1"/>
    <col min="19" max="19" width="12.28515625" customWidth="1"/>
    <col min="20" max="20" width="12.85546875" customWidth="1"/>
    <col min="21" max="21" width="13.28515625" customWidth="1"/>
  </cols>
  <sheetData>
    <row r="1" spans="1:51" x14ac:dyDescent="0.25">
      <c r="A1" s="1">
        <v>46285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1055878.8400000001</v>
      </c>
      <c r="G4" s="4">
        <v>1056645.96</v>
      </c>
      <c r="H4" s="4">
        <v>1056645.96</v>
      </c>
      <c r="I4" s="4"/>
      <c r="J4" s="4"/>
      <c r="K4" s="10">
        <f>G4-F4</f>
        <v>767.11999999987893</v>
      </c>
      <c r="L4" s="6">
        <v>1359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1042516.0799998355</v>
      </c>
      <c r="T4" s="6"/>
      <c r="U4" s="7" t="s">
        <v>9</v>
      </c>
      <c r="V4" s="11">
        <f>E6+E9+E12+E15</f>
        <v>6997.4599999998463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1055906</v>
      </c>
      <c r="AI4" s="4">
        <v>1056673</v>
      </c>
      <c r="AJ4" s="4">
        <v>1056673</v>
      </c>
      <c r="AK4" s="4"/>
      <c r="AL4" s="4"/>
      <c r="AM4" s="10">
        <f>AI4-AH4</f>
        <v>767</v>
      </c>
      <c r="AN4" s="6">
        <v>1359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1042353</v>
      </c>
      <c r="AV4" s="6"/>
      <c r="AW4" s="7" t="s">
        <v>9</v>
      </c>
      <c r="AX4" s="11">
        <f>AG6+AG9+AG12+AG15</f>
        <v>6998</v>
      </c>
      <c r="AY4" s="11"/>
    </row>
    <row r="5" spans="1:51" x14ac:dyDescent="0.25">
      <c r="C5" s="2"/>
      <c r="D5" s="4"/>
      <c r="E5" s="4" t="s">
        <v>11</v>
      </c>
      <c r="F5" s="4">
        <v>1347026.98</v>
      </c>
      <c r="G5" s="4">
        <v>1348464.97</v>
      </c>
      <c r="H5" s="4">
        <v>1348464.97</v>
      </c>
      <c r="I5" s="4"/>
      <c r="J5" s="4"/>
      <c r="K5" s="10">
        <f>G5-F5</f>
        <v>1437.9899999999907</v>
      </c>
      <c r="L5" s="6">
        <v>1359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1954228.4099999873</v>
      </c>
      <c r="T5" s="6"/>
      <c r="U5" s="7" t="s">
        <v>12</v>
      </c>
      <c r="V5" s="15">
        <f>E18+E21</f>
        <v>12752.929999999877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1347061</v>
      </c>
      <c r="AI5" s="4">
        <v>1348499</v>
      </c>
      <c r="AJ5" s="4">
        <v>1348499</v>
      </c>
      <c r="AK5" s="4"/>
      <c r="AL5" s="4"/>
      <c r="AM5" s="10">
        <f>AI5-AH5</f>
        <v>1438</v>
      </c>
      <c r="AN5" s="6">
        <v>1359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1954242</v>
      </c>
      <c r="AV5" s="6"/>
      <c r="AW5" s="7" t="s">
        <v>12</v>
      </c>
      <c r="AX5" s="15">
        <f>AG18+AG21</f>
        <v>12751</v>
      </c>
      <c r="AY5" s="15"/>
    </row>
    <row r="6" spans="1:51" x14ac:dyDescent="0.25">
      <c r="C6" s="2"/>
      <c r="D6" s="18" t="s">
        <v>14</v>
      </c>
      <c r="E6" s="3">
        <f>K6+M6+O6+Q6</f>
        <v>2205.1099999998696</v>
      </c>
      <c r="F6" s="4"/>
      <c r="G6" s="4"/>
      <c r="H6" s="4"/>
      <c r="I6" s="4"/>
      <c r="J6" s="4"/>
      <c r="K6" s="19">
        <f>SUM(K4:K5)</f>
        <v>2205.1099999998696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2205</v>
      </c>
      <c r="AH6" s="4"/>
      <c r="AI6" s="4"/>
      <c r="AJ6" s="4"/>
      <c r="AK6" s="4"/>
      <c r="AL6" s="4"/>
      <c r="AM6" s="19">
        <f>SUM(AM4:AM5)</f>
        <v>2205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720140.06</v>
      </c>
      <c r="G7" s="4">
        <v>720871.96</v>
      </c>
      <c r="H7" s="4">
        <v>720871.96</v>
      </c>
      <c r="I7" s="4"/>
      <c r="J7" s="4"/>
      <c r="K7" s="10">
        <f>G7-F7</f>
        <v>731.89999999990687</v>
      </c>
      <c r="L7" s="6">
        <v>1359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994652.09999987343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720182</v>
      </c>
      <c r="AI7" s="4">
        <v>720914</v>
      </c>
      <c r="AJ7" s="4">
        <v>720914</v>
      </c>
      <c r="AK7" s="4"/>
      <c r="AL7" s="4"/>
      <c r="AM7" s="10">
        <f>AI7-AH7</f>
        <v>732</v>
      </c>
      <c r="AN7" s="6">
        <v>1359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994788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1123643.17</v>
      </c>
      <c r="G8" s="6">
        <v>1124685.95</v>
      </c>
      <c r="H8" s="6">
        <v>1124685.95</v>
      </c>
      <c r="I8" s="6"/>
      <c r="J8" s="6"/>
      <c r="K8" s="10">
        <f>G8-F8</f>
        <v>1042.7800000000279</v>
      </c>
      <c r="L8" s="6">
        <v>1359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1417138.020000038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1123685</v>
      </c>
      <c r="AI8" s="6">
        <v>1124728</v>
      </c>
      <c r="AJ8" s="6">
        <v>1124728</v>
      </c>
      <c r="AK8" s="6"/>
      <c r="AL8" s="6"/>
      <c r="AM8" s="10">
        <f>AI8-AH8</f>
        <v>1043</v>
      </c>
      <c r="AN8" s="6">
        <v>1359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1417437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1774.6799999999348</v>
      </c>
      <c r="F9" s="4"/>
      <c r="G9" s="4"/>
      <c r="H9" s="4"/>
      <c r="I9" s="4"/>
      <c r="J9" s="4"/>
      <c r="K9" s="19">
        <f>SUM(K7:K8)</f>
        <v>1774.6799999999348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1775</v>
      </c>
      <c r="AH9" s="4"/>
      <c r="AI9" s="4"/>
      <c r="AJ9" s="4"/>
      <c r="AK9" s="4"/>
      <c r="AL9" s="4"/>
      <c r="AM9" s="19">
        <f>SUM(AM7:AM8)</f>
        <v>1775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606713.43000000005</v>
      </c>
      <c r="G10" s="6">
        <v>607145.88</v>
      </c>
      <c r="H10" s="6">
        <v>607145.88</v>
      </c>
      <c r="I10" s="6"/>
      <c r="J10" s="6"/>
      <c r="K10" s="10">
        <f>G10-F10</f>
        <v>432.44999999995343</v>
      </c>
      <c r="L10" s="6">
        <v>1359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587699.54999993672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606719</v>
      </c>
      <c r="AI10" s="6">
        <v>607152</v>
      </c>
      <c r="AJ10" s="6">
        <v>607152</v>
      </c>
      <c r="AK10" s="6"/>
      <c r="AL10" s="6"/>
      <c r="AM10" s="10">
        <f>AI10-AH10</f>
        <v>433</v>
      </c>
      <c r="AN10" s="6">
        <v>1359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588447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953702.57</v>
      </c>
      <c r="G11" s="6">
        <v>954819.15</v>
      </c>
      <c r="H11" s="6">
        <v>954819.15</v>
      </c>
      <c r="I11" s="6"/>
      <c r="J11" s="6"/>
      <c r="K11" s="10">
        <f>G11-F11</f>
        <v>1116.5800000000745</v>
      </c>
      <c r="L11" s="6">
        <v>1359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1517432.2200001013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953744</v>
      </c>
      <c r="AI11" s="6">
        <v>954860</v>
      </c>
      <c r="AJ11" s="6">
        <v>954860</v>
      </c>
      <c r="AK11" s="6"/>
      <c r="AL11" s="6"/>
      <c r="AM11" s="10">
        <f>AI11-AH11</f>
        <v>1116</v>
      </c>
      <c r="AN11" s="6">
        <v>1359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1516644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1549.0300000000279</v>
      </c>
      <c r="F12" s="4"/>
      <c r="G12" s="4"/>
      <c r="H12" s="4"/>
      <c r="I12" s="4"/>
      <c r="J12" s="4"/>
      <c r="K12" s="19">
        <f>SUM(K10:K11)</f>
        <v>1549.0300000000279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1549</v>
      </c>
      <c r="AH12" s="4"/>
      <c r="AI12" s="4"/>
      <c r="AJ12" s="4"/>
      <c r="AK12" s="4"/>
      <c r="AL12" s="4"/>
      <c r="AM12" s="19">
        <f>SUM(AM10:AM11)</f>
        <v>1549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535938.59</v>
      </c>
      <c r="G13" s="6">
        <v>537035.86</v>
      </c>
      <c r="H13" s="6">
        <v>537035.86</v>
      </c>
      <c r="I13" s="6"/>
      <c r="J13" s="6"/>
      <c r="K13" s="10">
        <f>G13-F13</f>
        <v>1097.2700000000186</v>
      </c>
      <c r="L13" s="6">
        <v>1359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1491189.9300000253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535980</v>
      </c>
      <c r="AI13" s="6">
        <v>537078</v>
      </c>
      <c r="AJ13" s="6">
        <v>537078</v>
      </c>
      <c r="AK13" s="6"/>
      <c r="AL13" s="6"/>
      <c r="AM13" s="10">
        <f>AI13-AH13</f>
        <v>1098</v>
      </c>
      <c r="AN13" s="6">
        <v>1359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1492182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942699.54</v>
      </c>
      <c r="G14" s="4">
        <v>943070.91</v>
      </c>
      <c r="H14" s="4">
        <v>943070.91</v>
      </c>
      <c r="I14" s="4"/>
      <c r="J14" s="4"/>
      <c r="K14" s="10">
        <f>G14-F14</f>
        <v>371.36999999999534</v>
      </c>
      <c r="L14" s="6">
        <v>1359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504691.82999999367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942732</v>
      </c>
      <c r="AI14" s="4">
        <v>943103</v>
      </c>
      <c r="AJ14" s="4">
        <v>943103</v>
      </c>
      <c r="AK14" s="4"/>
      <c r="AL14" s="4"/>
      <c r="AM14" s="10">
        <f>AI14-AH14</f>
        <v>371</v>
      </c>
      <c r="AN14" s="6">
        <v>1359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504189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1468.640000000014</v>
      </c>
      <c r="F15" s="4"/>
      <c r="G15" s="4"/>
      <c r="H15" s="4"/>
      <c r="I15" s="4"/>
      <c r="J15" s="4"/>
      <c r="K15" s="19">
        <f>SUM(K13:K14)</f>
        <v>1468.640000000014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1469</v>
      </c>
      <c r="AH15" s="4"/>
      <c r="AI15" s="4"/>
      <c r="AJ15" s="4"/>
      <c r="AK15" s="4"/>
      <c r="AL15" s="4"/>
      <c r="AM15" s="19">
        <f>SUM(AM13:AM14)</f>
        <v>1469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747949.15</v>
      </c>
      <c r="G16" s="4">
        <v>750038.94</v>
      </c>
      <c r="H16" s="4">
        <v>750038.94</v>
      </c>
      <c r="I16" s="4"/>
      <c r="J16" s="4"/>
      <c r="K16" s="10">
        <f>G16-F16</f>
        <v>2089.7899999999208</v>
      </c>
      <c r="L16" s="6">
        <v>1857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3880740.0299998531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2102321</v>
      </c>
      <c r="AI16" s="4">
        <v>2104410</v>
      </c>
      <c r="AJ16" s="4">
        <v>2104410</v>
      </c>
      <c r="AK16" s="4"/>
      <c r="AL16" s="4"/>
      <c r="AM16" s="10">
        <f>AI16-AH16</f>
        <v>2089</v>
      </c>
      <c r="AN16" s="6">
        <v>1857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3879273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741356.13</v>
      </c>
      <c r="G17" s="6">
        <v>744526.98</v>
      </c>
      <c r="H17" s="6">
        <v>744526.98</v>
      </c>
      <c r="I17" s="6"/>
      <c r="J17" s="6"/>
      <c r="K17" s="10">
        <f>G17-F17</f>
        <v>3170.8499999999767</v>
      </c>
      <c r="L17" s="6">
        <v>1857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5888268.4499999564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1774798</v>
      </c>
      <c r="AI17" s="6">
        <v>1777968</v>
      </c>
      <c r="AJ17" s="6">
        <v>1777968</v>
      </c>
      <c r="AK17" s="6"/>
      <c r="AL17" s="6"/>
      <c r="AM17" s="10">
        <f>AI17-AH17</f>
        <v>3170</v>
      </c>
      <c r="AN17" s="6">
        <v>1857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5886690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5260.6399999998976</v>
      </c>
      <c r="F18" s="4"/>
      <c r="G18" s="4"/>
      <c r="H18" s="4"/>
      <c r="I18" s="4"/>
      <c r="J18" s="4"/>
      <c r="K18" s="19">
        <f>SUM(K16:K17)</f>
        <v>5260.6399999998976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5259</v>
      </c>
      <c r="AH18" s="4"/>
      <c r="AI18" s="4"/>
      <c r="AJ18" s="4"/>
      <c r="AK18" s="4"/>
      <c r="AL18" s="4"/>
      <c r="AM18" s="19">
        <f>SUM(AM16:AM17)</f>
        <v>5259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434197.2</v>
      </c>
      <c r="G19" s="6">
        <v>437466.3</v>
      </c>
      <c r="H19" s="6">
        <v>437466.3</v>
      </c>
      <c r="I19" s="6"/>
      <c r="J19" s="6"/>
      <c r="K19" s="10">
        <f t="shared" ref="K19:K20" si="8">G19-F19</f>
        <v>3269.0999999999767</v>
      </c>
      <c r="L19" s="6">
        <v>1857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6070718.6999999564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1274209</v>
      </c>
      <c r="AI19" s="6">
        <v>1277478</v>
      </c>
      <c r="AJ19" s="6">
        <v>1277478</v>
      </c>
      <c r="AK19" s="6"/>
      <c r="AL19" s="6"/>
      <c r="AM19" s="10">
        <f t="shared" ref="AM19:AM20" si="10">AI19-AH19</f>
        <v>3269</v>
      </c>
      <c r="AN19" s="6">
        <v>1857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6070533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521648.69</v>
      </c>
      <c r="G20" s="6">
        <v>525871.88</v>
      </c>
      <c r="H20" s="6">
        <v>525871.88</v>
      </c>
      <c r="I20" s="6"/>
      <c r="J20" s="6"/>
      <c r="K20" s="10">
        <f t="shared" si="8"/>
        <v>4223.1900000000023</v>
      </c>
      <c r="L20" s="6">
        <v>1857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7842463.8300000047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1296177</v>
      </c>
      <c r="AI20" s="6">
        <v>1300400</v>
      </c>
      <c r="AJ20" s="6">
        <v>1300400</v>
      </c>
      <c r="AK20" s="6"/>
      <c r="AL20" s="6"/>
      <c r="AM20" s="10">
        <f t="shared" si="10"/>
        <v>4223</v>
      </c>
      <c r="AN20" s="6">
        <v>1857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7842111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7492.289999999979</v>
      </c>
      <c r="F21" s="4"/>
      <c r="G21" s="4"/>
      <c r="H21" s="4"/>
      <c r="I21" s="4"/>
      <c r="J21" s="4"/>
      <c r="K21" s="19">
        <f>SUM(K19:K20)</f>
        <v>7492.289999999979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7492</v>
      </c>
      <c r="AH21" s="4"/>
      <c r="AI21" s="4"/>
      <c r="AJ21" s="4"/>
      <c r="AK21" s="4"/>
      <c r="AL21" s="4"/>
      <c r="AM21" s="19">
        <f>SUM(AM19:AM20)</f>
        <v>7492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32008.489999999467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33191739.149999566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32006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33188889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35050</v>
      </c>
      <c r="G25" s="38">
        <v>33000</v>
      </c>
      <c r="H25" s="39">
        <f t="shared" ref="H25:H30" si="12">F25+V8-G25</f>
        <v>2050</v>
      </c>
      <c r="I25" s="39">
        <f>E6-H25</f>
        <v>155.10999999986961</v>
      </c>
      <c r="J25" s="40">
        <f>E6*0.085</f>
        <v>187.43434999998894</v>
      </c>
      <c r="K25" s="40">
        <f t="shared" ref="K25:K30" si="13">I25-J25</f>
        <v>-32.324350000119324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35050</v>
      </c>
      <c r="AI25" s="38">
        <v>33000</v>
      </c>
      <c r="AJ25" s="39">
        <f t="shared" ref="AJ25:AJ30" si="14">AH25+AX8-AI25</f>
        <v>2050</v>
      </c>
      <c r="AK25" s="39">
        <f>AG6-AJ25</f>
        <v>155</v>
      </c>
      <c r="AL25" s="40">
        <f>AG6*0.085</f>
        <v>187.42500000000001</v>
      </c>
      <c r="AM25" s="40">
        <f t="shared" ref="AM25:AM30" si="15">AK25-AL25</f>
        <v>-32.425000000000011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20350</v>
      </c>
      <c r="G26" s="38">
        <v>18750</v>
      </c>
      <c r="H26" s="39">
        <f t="shared" si="12"/>
        <v>1600</v>
      </c>
      <c r="I26" s="39">
        <f>E9-H26</f>
        <v>174.67999999993481</v>
      </c>
      <c r="J26" s="40">
        <f>E9*0.085</f>
        <v>150.84779999999446</v>
      </c>
      <c r="K26" s="40">
        <f t="shared" si="13"/>
        <v>23.832199999940343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20350</v>
      </c>
      <c r="AI26" s="38">
        <v>18750</v>
      </c>
      <c r="AJ26" s="39">
        <f t="shared" si="14"/>
        <v>1600</v>
      </c>
      <c r="AK26" s="39">
        <f>AG9-AJ26</f>
        <v>175</v>
      </c>
      <c r="AL26" s="40">
        <f>AG9*0.085</f>
        <v>150.875</v>
      </c>
      <c r="AM26" s="40">
        <f t="shared" si="15"/>
        <v>24.125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18250</v>
      </c>
      <c r="G27" s="38">
        <v>16700</v>
      </c>
      <c r="H27" s="39">
        <f t="shared" si="12"/>
        <v>1550</v>
      </c>
      <c r="I27" s="39">
        <f>E12-H27</f>
        <v>-0.96999999997206032</v>
      </c>
      <c r="J27" s="40">
        <f>E12*0.085</f>
        <v>131.66755000000239</v>
      </c>
      <c r="K27" s="40">
        <f t="shared" si="13"/>
        <v>-132.63754999997445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18250</v>
      </c>
      <c r="AI27" s="38">
        <v>16700</v>
      </c>
      <c r="AJ27" s="39">
        <f t="shared" si="14"/>
        <v>1550</v>
      </c>
      <c r="AK27" s="39">
        <f>AG12-AJ27</f>
        <v>-1</v>
      </c>
      <c r="AL27" s="40">
        <f>AG12*0.085</f>
        <v>131.66500000000002</v>
      </c>
      <c r="AM27" s="40">
        <f t="shared" si="15"/>
        <v>-132.66500000000002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11350</v>
      </c>
      <c r="G28" s="38">
        <v>9950</v>
      </c>
      <c r="H28" s="39">
        <f t="shared" si="12"/>
        <v>1400</v>
      </c>
      <c r="I28" s="39">
        <f>E15-H28</f>
        <v>68.64000000001397</v>
      </c>
      <c r="J28" s="40">
        <f>E15*0.085</f>
        <v>124.8344000000012</v>
      </c>
      <c r="K28" s="40">
        <f t="shared" si="13"/>
        <v>-56.194399999987226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11350</v>
      </c>
      <c r="AI28" s="38">
        <v>9950</v>
      </c>
      <c r="AJ28" s="39">
        <f t="shared" si="14"/>
        <v>1400</v>
      </c>
      <c r="AK28" s="39">
        <f>AG15-AJ28</f>
        <v>69</v>
      </c>
      <c r="AL28" s="40">
        <f>AG15*0.085</f>
        <v>124.86500000000001</v>
      </c>
      <c r="AM28" s="40">
        <f t="shared" si="15"/>
        <v>-55.865000000000009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47350</v>
      </c>
      <c r="G29" s="38">
        <v>42500</v>
      </c>
      <c r="H29" s="39">
        <f>F29+V12-G29</f>
        <v>4850</v>
      </c>
      <c r="I29" s="39">
        <f>E18-H29</f>
        <v>410.63999999989755</v>
      </c>
      <c r="J29" s="40">
        <f>E18*0.085</f>
        <v>447.15439999999131</v>
      </c>
      <c r="K29" s="40">
        <f t="shared" si="13"/>
        <v>-36.514400000093758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47350</v>
      </c>
      <c r="AI29" s="38">
        <v>42500</v>
      </c>
      <c r="AJ29" s="39">
        <f t="shared" si="14"/>
        <v>4850</v>
      </c>
      <c r="AK29" s="39">
        <f>AG18-AJ29</f>
        <v>409</v>
      </c>
      <c r="AL29" s="40">
        <f>AG18*0.085</f>
        <v>447.01500000000004</v>
      </c>
      <c r="AM29" s="40">
        <f t="shared" si="15"/>
        <v>-38.015000000000043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20000</v>
      </c>
      <c r="G30" s="38">
        <v>13000</v>
      </c>
      <c r="H30" s="39">
        <f t="shared" si="12"/>
        <v>7000</v>
      </c>
      <c r="I30" s="39">
        <f>E21-H30</f>
        <v>492.28999999997905</v>
      </c>
      <c r="J30" s="40">
        <f>E21*0.085</f>
        <v>636.8446499999983</v>
      </c>
      <c r="K30" s="40">
        <f t="shared" si="13"/>
        <v>-144.55465000001925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20000</v>
      </c>
      <c r="AI30" s="38">
        <v>13000</v>
      </c>
      <c r="AJ30" s="39">
        <f t="shared" si="14"/>
        <v>7000</v>
      </c>
      <c r="AK30" s="39">
        <f>AG21-AJ30</f>
        <v>492</v>
      </c>
      <c r="AL30" s="40">
        <f>AG21*0.085</f>
        <v>636.82000000000005</v>
      </c>
      <c r="AM30" s="40">
        <f t="shared" si="15"/>
        <v>-144.82000000000005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0</v>
      </c>
      <c r="C33" s="16">
        <v>0</v>
      </c>
      <c r="D33" s="16">
        <v>0</v>
      </c>
      <c r="E33" s="16">
        <v>0</v>
      </c>
      <c r="F33" s="16">
        <v>753637.08</v>
      </c>
      <c r="G33" s="16">
        <v>2681262</v>
      </c>
      <c r="H33" s="49">
        <v>1094841</v>
      </c>
      <c r="I33" s="16">
        <v>0</v>
      </c>
      <c r="J33" s="16">
        <v>18575068.16</v>
      </c>
      <c r="K33" s="16">
        <v>619118</v>
      </c>
      <c r="L33" s="16">
        <v>638298</v>
      </c>
      <c r="M33" s="16">
        <v>5818555</v>
      </c>
      <c r="N33" s="16">
        <v>0</v>
      </c>
      <c r="O33" s="16">
        <v>192540</v>
      </c>
      <c r="P33" s="16">
        <v>0</v>
      </c>
      <c r="Q33" s="16">
        <v>386900</v>
      </c>
      <c r="R33" s="49">
        <v>0</v>
      </c>
      <c r="S33" s="16">
        <v>885222.52</v>
      </c>
      <c r="T33" s="16">
        <v>26902442.66</v>
      </c>
      <c r="U33" s="42">
        <f>SUM(S22-A33-B33-W27-C33-D33-E33-F33-G33-H33-I33-J33-K33-L33-M33-N33-O33-P33-Q33-R33-J35-K35-L35-M35-N35-O35-P35-Q35-S33+T33)</f>
        <v>25469480.049999569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2880260</v>
      </c>
      <c r="K35" s="16"/>
      <c r="L35" s="16">
        <v>0</v>
      </c>
      <c r="M35" s="16">
        <v>0</v>
      </c>
      <c r="N35" s="16">
        <v>99000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F14" workbookViewId="0">
      <selection activeCell="U35" sqref="U35"/>
    </sheetView>
  </sheetViews>
  <sheetFormatPr defaultRowHeight="15" x14ac:dyDescent="0.25"/>
  <cols>
    <col min="1" max="1" width="9.7109375" bestFit="1" customWidth="1"/>
    <col min="5" max="5" width="10" bestFit="1" customWidth="1"/>
    <col min="7" max="8" width="10" bestFit="1" customWidth="1"/>
    <col min="10" max="10" width="10.85546875" bestFit="1" customWidth="1"/>
    <col min="11" max="11" width="10" bestFit="1" customWidth="1"/>
    <col min="13" max="13" width="10.85546875" bestFit="1" customWidth="1"/>
    <col min="15" max="18" width="10" bestFit="1" customWidth="1"/>
    <col min="19" max="19" width="12.28515625" customWidth="1"/>
    <col min="20" max="20" width="12.85546875" customWidth="1"/>
    <col min="21" max="21" width="13.28515625" customWidth="1"/>
    <col min="23" max="23" width="9.5703125" bestFit="1" customWidth="1"/>
  </cols>
  <sheetData>
    <row r="1" spans="1:51" x14ac:dyDescent="0.25">
      <c r="A1" s="1">
        <v>46286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1056645.96</v>
      </c>
      <c r="G4" s="4">
        <v>1057570.1200000001</v>
      </c>
      <c r="H4" s="4">
        <v>1057570.1200000001</v>
      </c>
      <c r="I4" s="4"/>
      <c r="J4" s="4"/>
      <c r="K4" s="10">
        <f>G4-F4</f>
        <v>924.16000000014901</v>
      </c>
      <c r="L4" s="6">
        <v>1359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1255933.4400002025</v>
      </c>
      <c r="T4" s="6"/>
      <c r="U4" s="7" t="s">
        <v>9</v>
      </c>
      <c r="V4" s="11">
        <f>E6+E9+E12+E15</f>
        <v>8161.7700000002515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1056673</v>
      </c>
      <c r="AI4" s="4">
        <v>1057597</v>
      </c>
      <c r="AJ4" s="4">
        <v>1057597</v>
      </c>
      <c r="AK4" s="4"/>
      <c r="AL4" s="4"/>
      <c r="AM4" s="10">
        <f>AI4-AH4</f>
        <v>924</v>
      </c>
      <c r="AN4" s="6">
        <v>1359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1255716</v>
      </c>
      <c r="AV4" s="6"/>
      <c r="AW4" s="7" t="s">
        <v>9</v>
      </c>
      <c r="AX4" s="11">
        <f>AG6+AG9+AG12+AG15</f>
        <v>8161</v>
      </c>
      <c r="AY4" s="11"/>
    </row>
    <row r="5" spans="1:51" x14ac:dyDescent="0.25">
      <c r="C5" s="2"/>
      <c r="D5" s="4"/>
      <c r="E5" s="4" t="s">
        <v>11</v>
      </c>
      <c r="F5" s="4">
        <v>1348464.97</v>
      </c>
      <c r="G5" s="4">
        <v>1350048.54</v>
      </c>
      <c r="H5" s="4">
        <v>1350048.54</v>
      </c>
      <c r="I5" s="4"/>
      <c r="J5" s="4"/>
      <c r="K5" s="10">
        <f>G5-F5</f>
        <v>1583.5700000000652</v>
      </c>
      <c r="L5" s="6">
        <v>1359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2152071.6300000884</v>
      </c>
      <c r="T5" s="6"/>
      <c r="U5" s="7" t="s">
        <v>12</v>
      </c>
      <c r="V5" s="15">
        <f>E18+E21</f>
        <v>16996.640000000072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1348499</v>
      </c>
      <c r="AI5" s="4">
        <v>1350083</v>
      </c>
      <c r="AJ5" s="4">
        <v>1350083</v>
      </c>
      <c r="AK5" s="4"/>
      <c r="AL5" s="4"/>
      <c r="AM5" s="10">
        <f>AI5-AH5</f>
        <v>1584</v>
      </c>
      <c r="AN5" s="6">
        <v>1359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2152656</v>
      </c>
      <c r="AV5" s="6"/>
      <c r="AW5" s="7" t="s">
        <v>12</v>
      </c>
      <c r="AX5" s="15">
        <f>AG18+AG21</f>
        <v>16998</v>
      </c>
      <c r="AY5" s="15"/>
    </row>
    <row r="6" spans="1:51" x14ac:dyDescent="0.25">
      <c r="C6" s="2"/>
      <c r="D6" s="18" t="s">
        <v>14</v>
      </c>
      <c r="E6" s="3">
        <f>K6+M6+O6+Q6</f>
        <v>2507.7300000002142</v>
      </c>
      <c r="F6" s="4"/>
      <c r="G6" s="4"/>
      <c r="H6" s="4"/>
      <c r="I6" s="4"/>
      <c r="J6" s="4"/>
      <c r="K6" s="19">
        <f>SUM(K4:K5)</f>
        <v>2507.7300000002142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2508</v>
      </c>
      <c r="AH6" s="4"/>
      <c r="AI6" s="4"/>
      <c r="AJ6" s="4"/>
      <c r="AK6" s="4"/>
      <c r="AL6" s="4"/>
      <c r="AM6" s="19">
        <f>SUM(AM4:AM5)</f>
        <v>2508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720871.96</v>
      </c>
      <c r="G7" s="4">
        <v>721779.1</v>
      </c>
      <c r="H7" s="4">
        <v>721779.1</v>
      </c>
      <c r="I7" s="4"/>
      <c r="J7" s="4"/>
      <c r="K7" s="10">
        <f>G7-F7</f>
        <v>907.14000000001397</v>
      </c>
      <c r="L7" s="6">
        <v>1359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1232803.2600000189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720914</v>
      </c>
      <c r="AI7" s="4">
        <v>721821</v>
      </c>
      <c r="AJ7" s="4">
        <v>721821</v>
      </c>
      <c r="AK7" s="4"/>
      <c r="AL7" s="4"/>
      <c r="AM7" s="10">
        <f>AI7-AH7</f>
        <v>907</v>
      </c>
      <c r="AN7" s="6">
        <v>1359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1232613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1124685.95</v>
      </c>
      <c r="G8" s="6">
        <v>1126167</v>
      </c>
      <c r="H8" s="6">
        <v>1126167</v>
      </c>
      <c r="I8" s="6"/>
      <c r="J8" s="6"/>
      <c r="K8" s="10">
        <f>G8-F8</f>
        <v>1481.0500000000466</v>
      </c>
      <c r="L8" s="6">
        <v>1359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2012746.9500000633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1124728</v>
      </c>
      <c r="AI8" s="6">
        <v>1126209</v>
      </c>
      <c r="AJ8" s="6">
        <v>1126209</v>
      </c>
      <c r="AK8" s="6"/>
      <c r="AL8" s="6"/>
      <c r="AM8" s="10">
        <f>AI8-AH8</f>
        <v>1481</v>
      </c>
      <c r="AN8" s="6">
        <v>1359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2012679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2388.1900000000605</v>
      </c>
      <c r="F9" s="4"/>
      <c r="G9" s="4"/>
      <c r="H9" s="4"/>
      <c r="I9" s="4"/>
      <c r="J9" s="4"/>
      <c r="K9" s="19">
        <f>SUM(K7:K8)</f>
        <v>2388.1900000000605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2388</v>
      </c>
      <c r="AH9" s="4"/>
      <c r="AI9" s="4"/>
      <c r="AJ9" s="4"/>
      <c r="AK9" s="4"/>
      <c r="AL9" s="4"/>
      <c r="AM9" s="19">
        <f>SUM(AM7:AM8)</f>
        <v>2388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607145.88</v>
      </c>
      <c r="G10" s="6">
        <v>607714.07999999996</v>
      </c>
      <c r="H10" s="6">
        <v>607714.07999999996</v>
      </c>
      <c r="I10" s="6"/>
      <c r="J10" s="6"/>
      <c r="K10" s="10">
        <f>G10-F10</f>
        <v>568.19999999995343</v>
      </c>
      <c r="L10" s="6">
        <v>1359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772183.79999993672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607152</v>
      </c>
      <c r="AI10" s="6">
        <v>607720</v>
      </c>
      <c r="AJ10" s="6">
        <v>607720</v>
      </c>
      <c r="AK10" s="6"/>
      <c r="AL10" s="6"/>
      <c r="AM10" s="10">
        <f>AI10-AH10</f>
        <v>568</v>
      </c>
      <c r="AN10" s="6">
        <v>1359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771912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954819.15</v>
      </c>
      <c r="G11" s="6">
        <v>956339.91</v>
      </c>
      <c r="H11" s="6">
        <v>956339.91</v>
      </c>
      <c r="I11" s="6"/>
      <c r="J11" s="6"/>
      <c r="K11" s="10">
        <f>G11-F11</f>
        <v>1520.7600000000093</v>
      </c>
      <c r="L11" s="6">
        <v>1359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2066712.8400000127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954860</v>
      </c>
      <c r="AI11" s="6">
        <v>956381</v>
      </c>
      <c r="AJ11" s="6">
        <v>956381</v>
      </c>
      <c r="AK11" s="6"/>
      <c r="AL11" s="6"/>
      <c r="AM11" s="10">
        <f>AI11-AH11</f>
        <v>1521</v>
      </c>
      <c r="AN11" s="6">
        <v>1359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2067039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2088.9599999999627</v>
      </c>
      <c r="F12" s="4"/>
      <c r="G12" s="4"/>
      <c r="H12" s="4"/>
      <c r="I12" s="4"/>
      <c r="J12" s="4"/>
      <c r="K12" s="19">
        <f>SUM(K10:K11)</f>
        <v>2088.9599999999627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2089</v>
      </c>
      <c r="AH12" s="4"/>
      <c r="AI12" s="4"/>
      <c r="AJ12" s="4"/>
      <c r="AK12" s="4"/>
      <c r="AL12" s="4"/>
      <c r="AM12" s="19">
        <f>SUM(AM10:AM11)</f>
        <v>2089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537035.86</v>
      </c>
      <c r="G13" s="6">
        <v>537444.30000000005</v>
      </c>
      <c r="H13" s="6">
        <v>537444.30000000005</v>
      </c>
      <c r="I13" s="6"/>
      <c r="J13" s="6"/>
      <c r="K13" s="10">
        <f>G13-F13</f>
        <v>408.44000000006054</v>
      </c>
      <c r="L13" s="6">
        <v>1359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555069.96000008227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537078</v>
      </c>
      <c r="AI13" s="6">
        <v>537486</v>
      </c>
      <c r="AJ13" s="6">
        <v>537486</v>
      </c>
      <c r="AK13" s="6"/>
      <c r="AL13" s="6"/>
      <c r="AM13" s="10">
        <f>AI13-AH13</f>
        <v>408</v>
      </c>
      <c r="AN13" s="6">
        <v>1359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554472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943070.91</v>
      </c>
      <c r="G14" s="4">
        <v>943839.36</v>
      </c>
      <c r="H14" s="4">
        <v>943839.36</v>
      </c>
      <c r="I14" s="4"/>
      <c r="J14" s="4"/>
      <c r="K14" s="10">
        <f>G14-F14</f>
        <v>768.44999999995343</v>
      </c>
      <c r="L14" s="6">
        <v>1359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1044323.5499999367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943103</v>
      </c>
      <c r="AI14" s="4">
        <v>943871</v>
      </c>
      <c r="AJ14" s="4">
        <v>943871</v>
      </c>
      <c r="AK14" s="4"/>
      <c r="AL14" s="4"/>
      <c r="AM14" s="10">
        <f>AI14-AH14</f>
        <v>768</v>
      </c>
      <c r="AN14" s="6">
        <v>1359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1043712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1176.890000000014</v>
      </c>
      <c r="F15" s="4"/>
      <c r="G15" s="4"/>
      <c r="H15" s="4"/>
      <c r="I15" s="4"/>
      <c r="J15" s="4"/>
      <c r="K15" s="19">
        <f>SUM(K13:K14)</f>
        <v>1176.890000000014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1176</v>
      </c>
      <c r="AH15" s="4"/>
      <c r="AI15" s="4"/>
      <c r="AJ15" s="4"/>
      <c r="AK15" s="4"/>
      <c r="AL15" s="4"/>
      <c r="AM15" s="19">
        <f>SUM(AM13:AM14)</f>
        <v>1176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750038.94</v>
      </c>
      <c r="G16" s="4">
        <v>754905.38</v>
      </c>
      <c r="H16" s="4">
        <v>754905.38</v>
      </c>
      <c r="I16" s="4"/>
      <c r="J16" s="4"/>
      <c r="K16" s="10">
        <f>G16-F16</f>
        <v>4866.4400000000605</v>
      </c>
      <c r="L16" s="6">
        <v>1857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9036979.0800001118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2104410</v>
      </c>
      <c r="AI16" s="4">
        <v>2109277</v>
      </c>
      <c r="AJ16" s="4">
        <v>2109277</v>
      </c>
      <c r="AK16" s="4"/>
      <c r="AL16" s="4"/>
      <c r="AM16" s="10">
        <f>AI16-AH16</f>
        <v>4867</v>
      </c>
      <c r="AN16" s="6">
        <v>1857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9038019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744526.98</v>
      </c>
      <c r="G17" s="6">
        <v>747386.82</v>
      </c>
      <c r="H17" s="6">
        <v>747386.82</v>
      </c>
      <c r="I17" s="6"/>
      <c r="J17" s="6"/>
      <c r="K17" s="10">
        <f>G17-F17</f>
        <v>2859.8399999999674</v>
      </c>
      <c r="L17" s="6">
        <v>1857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5310722.8799999394</v>
      </c>
      <c r="T17" s="2"/>
      <c r="U17" s="4" t="s">
        <v>76</v>
      </c>
      <c r="V17" s="4"/>
      <c r="W17" s="33">
        <v>484788.42</v>
      </c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1777968</v>
      </c>
      <c r="AI17" s="6">
        <v>1780828</v>
      </c>
      <c r="AJ17" s="6">
        <v>1780828</v>
      </c>
      <c r="AK17" s="6"/>
      <c r="AL17" s="6"/>
      <c r="AM17" s="10">
        <f>AI17-AH17</f>
        <v>2860</v>
      </c>
      <c r="AN17" s="6">
        <v>1857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5311020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7726.2800000000279</v>
      </c>
      <c r="F18" s="4"/>
      <c r="G18" s="4"/>
      <c r="H18" s="4"/>
      <c r="I18" s="4"/>
      <c r="J18" s="4"/>
      <c r="K18" s="19">
        <f>SUM(K16:K17)</f>
        <v>7726.2800000000279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 t="s">
        <v>75</v>
      </c>
      <c r="V18" s="4"/>
      <c r="W18" s="33">
        <v>896749.74</v>
      </c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7727</v>
      </c>
      <c r="AH18" s="4"/>
      <c r="AI18" s="4"/>
      <c r="AJ18" s="4"/>
      <c r="AK18" s="4"/>
      <c r="AL18" s="4"/>
      <c r="AM18" s="19">
        <f>SUM(AM16:AM17)</f>
        <v>7727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437466.3</v>
      </c>
      <c r="G19" s="6">
        <v>442379.25</v>
      </c>
      <c r="H19" s="6">
        <v>442379.25</v>
      </c>
      <c r="I19" s="6"/>
      <c r="J19" s="6"/>
      <c r="K19" s="10">
        <f t="shared" ref="K19:K20" si="8">G19-F19</f>
        <v>4912.9500000000116</v>
      </c>
      <c r="L19" s="6">
        <v>1857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9123348.1500000209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1277478</v>
      </c>
      <c r="AI19" s="6">
        <v>1282391</v>
      </c>
      <c r="AJ19" s="6">
        <v>1282391</v>
      </c>
      <c r="AK19" s="6"/>
      <c r="AL19" s="6"/>
      <c r="AM19" s="10">
        <f t="shared" ref="AM19:AM20" si="10">AI19-AH19</f>
        <v>4913</v>
      </c>
      <c r="AN19" s="6">
        <v>1857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9123441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525871.88</v>
      </c>
      <c r="G20" s="6">
        <v>530229.29</v>
      </c>
      <c r="H20" s="6">
        <v>530229.29</v>
      </c>
      <c r="I20" s="6"/>
      <c r="J20" s="6"/>
      <c r="K20" s="10">
        <f t="shared" si="8"/>
        <v>4357.4100000000326</v>
      </c>
      <c r="L20" s="6">
        <v>1857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8091710.3700000606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1300400</v>
      </c>
      <c r="AI20" s="6">
        <v>1304758</v>
      </c>
      <c r="AJ20" s="6">
        <v>1304758</v>
      </c>
      <c r="AK20" s="6"/>
      <c r="AL20" s="6"/>
      <c r="AM20" s="10">
        <f t="shared" si="10"/>
        <v>4358</v>
      </c>
      <c r="AN20" s="6">
        <v>1857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8092806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9270.3600000000442</v>
      </c>
      <c r="F21" s="4"/>
      <c r="G21" s="4"/>
      <c r="H21" s="4"/>
      <c r="I21" s="4"/>
      <c r="J21" s="4"/>
      <c r="K21" s="19">
        <f>SUM(K19:K20)</f>
        <v>9270.3600000000442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9271</v>
      </c>
      <c r="AH21" s="4"/>
      <c r="AI21" s="4"/>
      <c r="AJ21" s="4"/>
      <c r="AK21" s="4"/>
      <c r="AL21" s="4"/>
      <c r="AM21" s="19">
        <f>SUM(AM19:AM20)</f>
        <v>9271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41046.460000000603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42654605.910000473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41047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42656085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33000</v>
      </c>
      <c r="G25" s="38">
        <v>30850</v>
      </c>
      <c r="H25" s="39">
        <f t="shared" ref="H25:H30" si="12">F25+V8-G25</f>
        <v>2150</v>
      </c>
      <c r="I25" s="39">
        <f>E6-H25</f>
        <v>357.7300000002142</v>
      </c>
      <c r="J25" s="40">
        <f>E6*0.085</f>
        <v>213.15705000001822</v>
      </c>
      <c r="K25" s="40">
        <f t="shared" ref="K25:K30" si="13">I25-J25</f>
        <v>144.57295000019599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33000</v>
      </c>
      <c r="AI25" s="38">
        <v>30850</v>
      </c>
      <c r="AJ25" s="39">
        <f t="shared" ref="AJ25:AJ30" si="14">AH25+AX8-AI25</f>
        <v>2150</v>
      </c>
      <c r="AK25" s="39">
        <f>AG6-AJ25</f>
        <v>358</v>
      </c>
      <c r="AL25" s="40">
        <f>AG6*0.085</f>
        <v>213.18</v>
      </c>
      <c r="AM25" s="40">
        <f t="shared" ref="AM25:AM30" si="15">AK25-AL25</f>
        <v>144.82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18750</v>
      </c>
      <c r="G26" s="38">
        <v>16550</v>
      </c>
      <c r="H26" s="39">
        <f t="shared" si="12"/>
        <v>2200</v>
      </c>
      <c r="I26" s="39">
        <f>E9-H26</f>
        <v>188.19000000006054</v>
      </c>
      <c r="J26" s="40">
        <f>E9*0.085</f>
        <v>202.99615000000517</v>
      </c>
      <c r="K26" s="40">
        <f t="shared" si="13"/>
        <v>-14.806149999944637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18750</v>
      </c>
      <c r="AI26" s="38">
        <v>16550</v>
      </c>
      <c r="AJ26" s="39">
        <f t="shared" si="14"/>
        <v>2200</v>
      </c>
      <c r="AK26" s="39">
        <f>AG9-AJ26</f>
        <v>188</v>
      </c>
      <c r="AL26" s="40">
        <f>AG9*0.085</f>
        <v>202.98000000000002</v>
      </c>
      <c r="AM26" s="40">
        <f t="shared" si="15"/>
        <v>-14.980000000000018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16700</v>
      </c>
      <c r="G27" s="38">
        <v>15000</v>
      </c>
      <c r="H27" s="39">
        <f t="shared" si="12"/>
        <v>1700</v>
      </c>
      <c r="I27" s="39">
        <f>E12-H27</f>
        <v>388.95999999996275</v>
      </c>
      <c r="J27" s="40">
        <f>E12*0.085</f>
        <v>177.56159999999684</v>
      </c>
      <c r="K27" s="40">
        <f t="shared" si="13"/>
        <v>211.3983999999659</v>
      </c>
      <c r="L27" s="6"/>
      <c r="N27" s="22"/>
      <c r="O27" s="22"/>
      <c r="P27" s="22"/>
      <c r="U27" s="41" t="s">
        <v>30</v>
      </c>
      <c r="W27" s="42">
        <f>SUM(W17:W26)</f>
        <v>1381538.16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16700</v>
      </c>
      <c r="AI27" s="38">
        <v>15000</v>
      </c>
      <c r="AJ27" s="39">
        <f t="shared" si="14"/>
        <v>1700</v>
      </c>
      <c r="AK27" s="39">
        <f>AG12-AJ27</f>
        <v>389</v>
      </c>
      <c r="AL27" s="40">
        <f>AG12*0.085</f>
        <v>177.56500000000003</v>
      </c>
      <c r="AM27" s="40">
        <f t="shared" si="15"/>
        <v>211.43499999999997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9950</v>
      </c>
      <c r="G28" s="38">
        <v>8950</v>
      </c>
      <c r="H28" s="39">
        <f t="shared" si="12"/>
        <v>1000</v>
      </c>
      <c r="I28" s="39">
        <f>E15-H28</f>
        <v>176.89000000001397</v>
      </c>
      <c r="J28" s="40">
        <f>E15*0.085</f>
        <v>100.0356500000012</v>
      </c>
      <c r="K28" s="40">
        <f t="shared" si="13"/>
        <v>76.854350000012772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9950</v>
      </c>
      <c r="AI28" s="38">
        <v>8950</v>
      </c>
      <c r="AJ28" s="39">
        <f t="shared" si="14"/>
        <v>1000</v>
      </c>
      <c r="AK28" s="39">
        <f>AG15-AJ28</f>
        <v>176</v>
      </c>
      <c r="AL28" s="40">
        <f>AG15*0.085</f>
        <v>99.960000000000008</v>
      </c>
      <c r="AM28" s="40">
        <f t="shared" si="15"/>
        <v>76.039999999999992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42500</v>
      </c>
      <c r="G29" s="38">
        <v>35350</v>
      </c>
      <c r="H29" s="39">
        <f>F29+V12-G29</f>
        <v>7150</v>
      </c>
      <c r="I29" s="39">
        <f>E18-H29</f>
        <v>576.28000000002794</v>
      </c>
      <c r="J29" s="40">
        <f>E18*0.085</f>
        <v>656.73380000000247</v>
      </c>
      <c r="K29" s="40">
        <f t="shared" si="13"/>
        <v>-80.453799999974535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42500</v>
      </c>
      <c r="AI29" s="38">
        <v>35350</v>
      </c>
      <c r="AJ29" s="39">
        <f t="shared" si="14"/>
        <v>7150</v>
      </c>
      <c r="AK29" s="39">
        <f>AG18-AJ29</f>
        <v>577</v>
      </c>
      <c r="AL29" s="40">
        <f>AG18*0.085</f>
        <v>656.79500000000007</v>
      </c>
      <c r="AM29" s="40">
        <f t="shared" si="15"/>
        <v>-79.795000000000073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13000</v>
      </c>
      <c r="G30" s="38">
        <v>4400</v>
      </c>
      <c r="H30" s="39">
        <f t="shared" si="12"/>
        <v>8600</v>
      </c>
      <c r="I30" s="39">
        <f>E21-H30</f>
        <v>670.36000000004424</v>
      </c>
      <c r="J30" s="40">
        <f>E21*0.085</f>
        <v>787.98060000000385</v>
      </c>
      <c r="K30" s="40">
        <f t="shared" si="13"/>
        <v>-117.62059999995961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13000</v>
      </c>
      <c r="AI30" s="38">
        <v>4400</v>
      </c>
      <c r="AJ30" s="39">
        <f t="shared" si="14"/>
        <v>8600</v>
      </c>
      <c r="AK30" s="39">
        <f>AG21-AJ30</f>
        <v>671</v>
      </c>
      <c r="AL30" s="40">
        <f>AG21*0.085</f>
        <v>788.03500000000008</v>
      </c>
      <c r="AM30" s="40">
        <f t="shared" si="15"/>
        <v>-117.03500000000008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0</v>
      </c>
      <c r="C33" s="16">
        <v>0</v>
      </c>
      <c r="D33" s="16">
        <v>0</v>
      </c>
      <c r="E33" s="16">
        <v>1876046</v>
      </c>
      <c r="F33" s="16"/>
      <c r="G33" s="16">
        <v>0</v>
      </c>
      <c r="H33" s="49">
        <v>0</v>
      </c>
      <c r="I33" s="16">
        <v>0</v>
      </c>
      <c r="J33" s="16">
        <v>75275</v>
      </c>
      <c r="K33" s="16">
        <v>0</v>
      </c>
      <c r="L33" s="16">
        <v>371819</v>
      </c>
      <c r="M33" s="16">
        <v>21370666</v>
      </c>
      <c r="N33" s="16">
        <v>373800</v>
      </c>
      <c r="O33" s="16">
        <v>0</v>
      </c>
      <c r="P33" s="16">
        <v>460800</v>
      </c>
      <c r="Q33" s="16">
        <v>0</v>
      </c>
      <c r="R33" s="49">
        <v>848669</v>
      </c>
      <c r="S33" s="16">
        <v>0</v>
      </c>
      <c r="T33" s="16">
        <v>25469480.050000001</v>
      </c>
      <c r="U33" s="42">
        <f>SUM(S22-A33-B33-W27-C33-D33-E33-F33-G33-H33-I33-J33-K33-L33-M33-N33-O33-P33-Q33-R33-J35-K35-L35-M35-N35-O35-P35-Q35-S33+T33)</f>
        <v>32417963.710000478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266590</v>
      </c>
      <c r="N35" s="16">
        <v>0</v>
      </c>
      <c r="O35" s="16">
        <v>1210200</v>
      </c>
      <c r="P35" s="16">
        <v>852557.89</v>
      </c>
      <c r="Q35" s="16">
        <v>6618161.2000000002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E14" workbookViewId="0">
      <selection activeCell="U33" sqref="U33"/>
    </sheetView>
  </sheetViews>
  <sheetFormatPr defaultRowHeight="15" x14ac:dyDescent="0.25"/>
  <cols>
    <col min="1" max="1" width="9.7109375" bestFit="1" customWidth="1"/>
    <col min="5" max="8" width="10" bestFit="1" customWidth="1"/>
    <col min="10" max="10" width="10.85546875" bestFit="1" customWidth="1"/>
    <col min="11" max="11" width="10" bestFit="1" customWidth="1"/>
    <col min="13" max="13" width="10.85546875" bestFit="1" customWidth="1"/>
    <col min="15" max="18" width="10" bestFit="1" customWidth="1"/>
    <col min="19" max="19" width="12.28515625" customWidth="1"/>
    <col min="20" max="20" width="12.85546875" customWidth="1"/>
    <col min="21" max="21" width="13.28515625" customWidth="1"/>
    <col min="23" max="23" width="9.5703125" bestFit="1" customWidth="1"/>
  </cols>
  <sheetData>
    <row r="1" spans="1:51" x14ac:dyDescent="0.25">
      <c r="A1" s="1">
        <v>46287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1057570.1200000001</v>
      </c>
      <c r="G4" s="4">
        <v>1058401.94</v>
      </c>
      <c r="H4" s="4">
        <v>1058401.94</v>
      </c>
      <c r="I4" s="4"/>
      <c r="J4" s="4"/>
      <c r="K4" s="10">
        <f>G4-F4</f>
        <v>831.81999999983236</v>
      </c>
      <c r="L4" s="6">
        <v>1359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1130443.3799997722</v>
      </c>
      <c r="T4" s="6"/>
      <c r="U4" s="7" t="s">
        <v>9</v>
      </c>
      <c r="V4" s="11">
        <f>E6+E9+E12+E15</f>
        <v>7730.7199999999721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1057597</v>
      </c>
      <c r="AI4" s="4">
        <v>1058429</v>
      </c>
      <c r="AJ4" s="4">
        <v>1058429</v>
      </c>
      <c r="AK4" s="4"/>
      <c r="AL4" s="4"/>
      <c r="AM4" s="10">
        <f>AI4-AH4</f>
        <v>832</v>
      </c>
      <c r="AN4" s="6">
        <v>1359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1130688</v>
      </c>
      <c r="AV4" s="6"/>
      <c r="AW4" s="7" t="s">
        <v>9</v>
      </c>
      <c r="AX4" s="11">
        <f>AG6+AG9+AG12+AG15</f>
        <v>7731</v>
      </c>
      <c r="AY4" s="11"/>
    </row>
    <row r="5" spans="1:51" x14ac:dyDescent="0.25">
      <c r="C5" s="2"/>
      <c r="D5" s="4"/>
      <c r="E5" s="4" t="s">
        <v>11</v>
      </c>
      <c r="F5" s="4">
        <v>1350048.54</v>
      </c>
      <c r="G5" s="4">
        <v>1351747.25</v>
      </c>
      <c r="H5" s="4">
        <v>1351747.25</v>
      </c>
      <c r="I5" s="4"/>
      <c r="J5" s="4"/>
      <c r="K5" s="10">
        <f>G5-F5</f>
        <v>1698.7099999999627</v>
      </c>
      <c r="L5" s="6">
        <v>1359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2308546.8899999494</v>
      </c>
      <c r="T5" s="6"/>
      <c r="U5" s="7" t="s">
        <v>12</v>
      </c>
      <c r="V5" s="15">
        <f>E18+E21</f>
        <v>15909.209999999905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1350083</v>
      </c>
      <c r="AI5" s="4">
        <v>1351782</v>
      </c>
      <c r="AJ5" s="4">
        <v>1351782</v>
      </c>
      <c r="AK5" s="4"/>
      <c r="AL5" s="4"/>
      <c r="AM5" s="10">
        <f>AI5-AH5</f>
        <v>1699</v>
      </c>
      <c r="AN5" s="6">
        <v>1359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2308941</v>
      </c>
      <c r="AV5" s="6"/>
      <c r="AW5" s="7" t="s">
        <v>12</v>
      </c>
      <c r="AX5" s="15">
        <f>AG18+AG21</f>
        <v>15829</v>
      </c>
      <c r="AY5" s="15"/>
    </row>
    <row r="6" spans="1:51" x14ac:dyDescent="0.25">
      <c r="C6" s="2"/>
      <c r="D6" s="18" t="s">
        <v>14</v>
      </c>
      <c r="E6" s="3">
        <f>K6+M6+O6+Q6</f>
        <v>2530.5299999997951</v>
      </c>
      <c r="F6" s="4"/>
      <c r="G6" s="4"/>
      <c r="H6" s="4"/>
      <c r="I6" s="4"/>
      <c r="J6" s="4"/>
      <c r="K6" s="19">
        <f>SUM(K4:K5)</f>
        <v>2530.5299999997951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2531</v>
      </c>
      <c r="AH6" s="4"/>
      <c r="AI6" s="4"/>
      <c r="AJ6" s="4"/>
      <c r="AK6" s="4"/>
      <c r="AL6" s="4"/>
      <c r="AM6" s="19">
        <f>SUM(AM4:AM5)</f>
        <v>2531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721779.1</v>
      </c>
      <c r="G7" s="4">
        <v>722989.23</v>
      </c>
      <c r="H7" s="4">
        <v>722989.23</v>
      </c>
      <c r="I7" s="4"/>
      <c r="J7" s="4"/>
      <c r="K7" s="10">
        <f>G7-F7</f>
        <v>1210.1300000000047</v>
      </c>
      <c r="L7" s="6">
        <v>1359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1644566.6700000064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721821</v>
      </c>
      <c r="AI7" s="4">
        <v>723031</v>
      </c>
      <c r="AJ7" s="4">
        <v>723031</v>
      </c>
      <c r="AK7" s="4"/>
      <c r="AL7" s="4"/>
      <c r="AM7" s="10">
        <f>AI7-AH7</f>
        <v>1210</v>
      </c>
      <c r="AN7" s="6">
        <v>1359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1644390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1126167</v>
      </c>
      <c r="G8" s="6">
        <v>1127489.55</v>
      </c>
      <c r="H8" s="6">
        <v>1127489.55</v>
      </c>
      <c r="I8" s="6"/>
      <c r="J8" s="6"/>
      <c r="K8" s="10">
        <f>G8-F8</f>
        <v>1322.5500000000466</v>
      </c>
      <c r="L8" s="6">
        <v>1359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1797345.4500000633</v>
      </c>
      <c r="T8" s="6"/>
      <c r="U8" s="7" t="s">
        <v>20</v>
      </c>
      <c r="V8" s="23">
        <v>20500</v>
      </c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1126209</v>
      </c>
      <c r="AI8" s="6">
        <v>1127532</v>
      </c>
      <c r="AJ8" s="6">
        <v>1127532</v>
      </c>
      <c r="AK8" s="6"/>
      <c r="AL8" s="6"/>
      <c r="AM8" s="10">
        <f>AI8-AH8</f>
        <v>1323</v>
      </c>
      <c r="AN8" s="6">
        <v>1359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1797957</v>
      </c>
      <c r="AV8" s="6"/>
      <c r="AW8" s="7" t="s">
        <v>20</v>
      </c>
      <c r="AX8" s="23">
        <v>20500</v>
      </c>
      <c r="AY8" s="23"/>
    </row>
    <row r="9" spans="1:51" x14ac:dyDescent="0.25">
      <c r="C9" s="2"/>
      <c r="D9" s="18" t="s">
        <v>21</v>
      </c>
      <c r="E9" s="3">
        <f>K9+M9+O9+Q9</f>
        <v>2532.6800000000512</v>
      </c>
      <c r="F9" s="4"/>
      <c r="G9" s="4"/>
      <c r="H9" s="4"/>
      <c r="I9" s="4"/>
      <c r="J9" s="4"/>
      <c r="K9" s="19">
        <f>SUM(K7:K8)</f>
        <v>2532.6800000000512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>
        <v>9050</v>
      </c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2533</v>
      </c>
      <c r="AH9" s="4"/>
      <c r="AI9" s="4"/>
      <c r="AJ9" s="4"/>
      <c r="AK9" s="4"/>
      <c r="AL9" s="4"/>
      <c r="AM9" s="19">
        <f>SUM(AM7:AM8)</f>
        <v>2533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>
        <v>9050</v>
      </c>
      <c r="AY9" s="23"/>
    </row>
    <row r="10" spans="1:51" x14ac:dyDescent="0.25">
      <c r="C10" s="2"/>
      <c r="D10" s="18"/>
      <c r="E10" s="4" t="s">
        <v>22</v>
      </c>
      <c r="F10" s="6">
        <v>607714.07999999996</v>
      </c>
      <c r="G10" s="6">
        <v>608055.31000000006</v>
      </c>
      <c r="H10" s="6">
        <v>608055.31000000006</v>
      </c>
      <c r="I10" s="6"/>
      <c r="J10" s="6"/>
      <c r="K10" s="10">
        <f>G10-F10</f>
        <v>341.23000000009779</v>
      </c>
      <c r="L10" s="6">
        <v>1359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463731.5700001329</v>
      </c>
      <c r="T10" s="6"/>
      <c r="U10" s="7" t="s">
        <v>16</v>
      </c>
      <c r="V10" s="23">
        <v>5400</v>
      </c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607720</v>
      </c>
      <c r="AI10" s="6">
        <v>608061</v>
      </c>
      <c r="AJ10" s="6">
        <v>608061</v>
      </c>
      <c r="AK10" s="6"/>
      <c r="AL10" s="6"/>
      <c r="AM10" s="10">
        <f>AI10-AH10</f>
        <v>341</v>
      </c>
      <c r="AN10" s="6">
        <v>1359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463419</v>
      </c>
      <c r="AV10" s="6"/>
      <c r="AW10" s="7" t="s">
        <v>16</v>
      </c>
      <c r="AX10" s="23">
        <v>5400</v>
      </c>
      <c r="AY10" s="23"/>
    </row>
    <row r="11" spans="1:51" x14ac:dyDescent="0.25">
      <c r="C11" s="2"/>
      <c r="D11" s="2"/>
      <c r="E11" s="4" t="s">
        <v>23</v>
      </c>
      <c r="F11" s="6">
        <v>956339.91</v>
      </c>
      <c r="G11" s="6">
        <v>957351.43</v>
      </c>
      <c r="H11" s="6">
        <v>957351.43</v>
      </c>
      <c r="I11" s="6"/>
      <c r="J11" s="6"/>
      <c r="K11" s="10">
        <f>G11-F11</f>
        <v>1011.5200000000186</v>
      </c>
      <c r="L11" s="6">
        <v>1359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1374655.6800000253</v>
      </c>
      <c r="T11" s="6"/>
      <c r="U11" s="7" t="s">
        <v>19</v>
      </c>
      <c r="V11" s="23">
        <v>10100</v>
      </c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956381</v>
      </c>
      <c r="AI11" s="6">
        <v>957393</v>
      </c>
      <c r="AJ11" s="6">
        <v>957393</v>
      </c>
      <c r="AK11" s="6"/>
      <c r="AL11" s="6"/>
      <c r="AM11" s="10">
        <f>AI11-AH11</f>
        <v>1012</v>
      </c>
      <c r="AN11" s="6">
        <v>1359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1375308</v>
      </c>
      <c r="AV11" s="6"/>
      <c r="AW11" s="7" t="s">
        <v>19</v>
      </c>
      <c r="AX11" s="23">
        <v>10100</v>
      </c>
      <c r="AY11" s="23"/>
    </row>
    <row r="12" spans="1:51" x14ac:dyDescent="0.25">
      <c r="C12" s="2"/>
      <c r="D12" s="18" t="s">
        <v>24</v>
      </c>
      <c r="E12" s="3">
        <f>K12+M12+O12+Q12</f>
        <v>1352.7500000001164</v>
      </c>
      <c r="F12" s="4"/>
      <c r="G12" s="4"/>
      <c r="H12" s="4"/>
      <c r="I12" s="4"/>
      <c r="J12" s="4"/>
      <c r="K12" s="19">
        <f>SUM(K10:K11)</f>
        <v>1352.7500000001164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1353</v>
      </c>
      <c r="AH12" s="4"/>
      <c r="AI12" s="4"/>
      <c r="AJ12" s="4"/>
      <c r="AK12" s="4"/>
      <c r="AL12" s="4"/>
      <c r="AM12" s="19">
        <f>SUM(AM10:AM11)</f>
        <v>1353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537444.30000000005</v>
      </c>
      <c r="G13" s="6">
        <v>538004.36</v>
      </c>
      <c r="H13" s="6">
        <v>538004.36</v>
      </c>
      <c r="I13" s="6"/>
      <c r="J13" s="6"/>
      <c r="K13" s="10">
        <f>G13-F13</f>
        <v>560.05999999993946</v>
      </c>
      <c r="L13" s="6">
        <v>1359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761121.53999991773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537486</v>
      </c>
      <c r="AI13" s="6">
        <v>538045</v>
      </c>
      <c r="AJ13" s="6">
        <v>538045</v>
      </c>
      <c r="AK13" s="6"/>
      <c r="AL13" s="6"/>
      <c r="AM13" s="10">
        <f>AI13-AH13</f>
        <v>559</v>
      </c>
      <c r="AN13" s="6">
        <v>1359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759681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943839.36</v>
      </c>
      <c r="G14" s="4">
        <v>944594.06</v>
      </c>
      <c r="H14" s="4">
        <v>944594.06</v>
      </c>
      <c r="I14" s="4"/>
      <c r="J14" s="4"/>
      <c r="K14" s="10">
        <f>G14-F14</f>
        <v>754.70000000006985</v>
      </c>
      <c r="L14" s="6">
        <v>1359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1025637.3000000949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943871</v>
      </c>
      <c r="AI14" s="4">
        <v>944626</v>
      </c>
      <c r="AJ14" s="4">
        <v>944626</v>
      </c>
      <c r="AK14" s="4"/>
      <c r="AL14" s="4"/>
      <c r="AM14" s="10">
        <f>AI14-AH14</f>
        <v>755</v>
      </c>
      <c r="AN14" s="6">
        <v>1359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1026045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1314.7600000000093</v>
      </c>
      <c r="F15" s="4"/>
      <c r="G15" s="4"/>
      <c r="H15" s="4"/>
      <c r="I15" s="4"/>
      <c r="J15" s="4"/>
      <c r="K15" s="19">
        <f>SUM(K13:K14)</f>
        <v>1314.7600000000093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1314</v>
      </c>
      <c r="AH15" s="4"/>
      <c r="AI15" s="4"/>
      <c r="AJ15" s="4"/>
      <c r="AK15" s="4"/>
      <c r="AL15" s="4"/>
      <c r="AM15" s="19">
        <f>SUM(AM13:AM14)</f>
        <v>1314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754905.38</v>
      </c>
      <c r="G16" s="4">
        <v>759110.37</v>
      </c>
      <c r="H16" s="4">
        <v>759110.37</v>
      </c>
      <c r="I16" s="4"/>
      <c r="J16" s="4"/>
      <c r="K16" s="10">
        <f>G16-F16</f>
        <v>4204.9899999999907</v>
      </c>
      <c r="L16" s="6">
        <v>1857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7808666.4299999829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2109277</v>
      </c>
      <c r="AI16" s="4">
        <v>2113402</v>
      </c>
      <c r="AJ16" s="4">
        <v>2113402</v>
      </c>
      <c r="AK16" s="4"/>
      <c r="AL16" s="4"/>
      <c r="AM16" s="10">
        <f>AI16-AH16</f>
        <v>4125</v>
      </c>
      <c r="AN16" s="6">
        <v>1857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7660125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747386.82</v>
      </c>
      <c r="G17" s="6">
        <v>754413.44</v>
      </c>
      <c r="H17" s="6">
        <v>754413.44</v>
      </c>
      <c r="I17" s="6"/>
      <c r="J17" s="6"/>
      <c r="K17" s="10">
        <f>G17-F17</f>
        <v>7026.6199999999953</v>
      </c>
      <c r="L17" s="6">
        <v>1857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13048433.339999991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1780828</v>
      </c>
      <c r="AI17" s="6">
        <v>1787855</v>
      </c>
      <c r="AJ17" s="6">
        <v>1787855</v>
      </c>
      <c r="AK17" s="6"/>
      <c r="AL17" s="6"/>
      <c r="AM17" s="10">
        <f>AI17-AH17</f>
        <v>7027</v>
      </c>
      <c r="AN17" s="6">
        <v>1857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13049139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11231.609999999986</v>
      </c>
      <c r="F18" s="4"/>
      <c r="G18" s="4"/>
      <c r="H18" s="4"/>
      <c r="I18" s="4"/>
      <c r="J18" s="4"/>
      <c r="K18" s="19">
        <f>SUM(K16:K17)</f>
        <v>11231.609999999986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11152</v>
      </c>
      <c r="AH18" s="4"/>
      <c r="AI18" s="4"/>
      <c r="AJ18" s="4"/>
      <c r="AK18" s="4"/>
      <c r="AL18" s="4"/>
      <c r="AM18" s="19">
        <f>SUM(AM16:AM17)</f>
        <v>11152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442379.25</v>
      </c>
      <c r="G19" s="6">
        <v>444685.69</v>
      </c>
      <c r="H19" s="6">
        <v>444685.69</v>
      </c>
      <c r="I19" s="6"/>
      <c r="J19" s="6"/>
      <c r="K19" s="10">
        <f t="shared" ref="K19:K20" si="8">G19-F19</f>
        <v>2306.4400000000023</v>
      </c>
      <c r="L19" s="6">
        <v>1857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4283059.0800000047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1282391</v>
      </c>
      <c r="AI19" s="6">
        <v>1284697</v>
      </c>
      <c r="AJ19" s="6">
        <v>1284697</v>
      </c>
      <c r="AK19" s="6"/>
      <c r="AL19" s="6"/>
      <c r="AM19" s="10">
        <f t="shared" ref="AM19:AM20" si="10">AI19-AH19</f>
        <v>2306</v>
      </c>
      <c r="AN19" s="6">
        <v>1857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4282242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530229.29</v>
      </c>
      <c r="G20" s="6">
        <v>532600.44999999995</v>
      </c>
      <c r="H20" s="6">
        <v>532600.44999999995</v>
      </c>
      <c r="I20" s="6"/>
      <c r="J20" s="6"/>
      <c r="K20" s="10">
        <f t="shared" si="8"/>
        <v>2371.1599999999162</v>
      </c>
      <c r="L20" s="6">
        <v>1857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4403244.1199998446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1304758</v>
      </c>
      <c r="AI20" s="6">
        <v>1307129</v>
      </c>
      <c r="AJ20" s="6">
        <v>1307129</v>
      </c>
      <c r="AK20" s="6"/>
      <c r="AL20" s="6"/>
      <c r="AM20" s="10">
        <f t="shared" si="10"/>
        <v>2371</v>
      </c>
      <c r="AN20" s="6">
        <v>1857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4402947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4677.5999999999185</v>
      </c>
      <c r="F21" s="4"/>
      <c r="G21" s="4"/>
      <c r="H21" s="4"/>
      <c r="I21" s="4"/>
      <c r="J21" s="4"/>
      <c r="K21" s="19">
        <f>SUM(K19:K20)</f>
        <v>4677.5999999999185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4677</v>
      </c>
      <c r="AH21" s="4"/>
      <c r="AI21" s="4"/>
      <c r="AJ21" s="4"/>
      <c r="AK21" s="4"/>
      <c r="AL21" s="4"/>
      <c r="AM21" s="19">
        <f>SUM(AM19:AM20)</f>
        <v>4677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42602.259999999835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40049451.449999779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42443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39900882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30850</v>
      </c>
      <c r="G25" s="38">
        <v>48550</v>
      </c>
      <c r="H25" s="39">
        <f t="shared" ref="H25:H30" si="12">F25+V8-G25</f>
        <v>2800</v>
      </c>
      <c r="I25" s="39">
        <f>E6-H25</f>
        <v>-269.47000000020489</v>
      </c>
      <c r="J25" s="40">
        <f>E6*0.085</f>
        <v>215.09504999998259</v>
      </c>
      <c r="K25" s="40">
        <f t="shared" ref="K25:K30" si="13">I25-J25</f>
        <v>-484.56505000018751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30850</v>
      </c>
      <c r="AI25" s="38">
        <v>48550</v>
      </c>
      <c r="AJ25" s="39">
        <f t="shared" ref="AJ25:AJ30" si="14">AH25+AX8-AI25</f>
        <v>2800</v>
      </c>
      <c r="AK25" s="39">
        <f>AG6-AJ25</f>
        <v>-269</v>
      </c>
      <c r="AL25" s="40">
        <f>AG6*0.085</f>
        <v>215.13500000000002</v>
      </c>
      <c r="AM25" s="40">
        <f t="shared" ref="AM25:AM30" si="15">AK25-AL25</f>
        <v>-484.13499999999999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16550</v>
      </c>
      <c r="G26" s="38">
        <v>23350</v>
      </c>
      <c r="H26" s="39">
        <f t="shared" si="12"/>
        <v>2250</v>
      </c>
      <c r="I26" s="39">
        <f>E9-H26</f>
        <v>282.68000000005122</v>
      </c>
      <c r="J26" s="40">
        <f>E9*0.085</f>
        <v>215.27780000000436</v>
      </c>
      <c r="K26" s="40">
        <f t="shared" si="13"/>
        <v>67.402200000046861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16550</v>
      </c>
      <c r="AI26" s="38">
        <v>23350</v>
      </c>
      <c r="AJ26" s="39">
        <f t="shared" si="14"/>
        <v>2250</v>
      </c>
      <c r="AK26" s="39">
        <f>AG9-AJ26</f>
        <v>283</v>
      </c>
      <c r="AL26" s="40">
        <f>AG9*0.085</f>
        <v>215.30500000000001</v>
      </c>
      <c r="AM26" s="40">
        <f t="shared" si="15"/>
        <v>67.694999999999993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15000</v>
      </c>
      <c r="G27" s="38">
        <v>19200</v>
      </c>
      <c r="H27" s="39">
        <f t="shared" si="12"/>
        <v>1200</v>
      </c>
      <c r="I27" s="39">
        <f>E12-H27</f>
        <v>152.75000000011642</v>
      </c>
      <c r="J27" s="40">
        <f>E12*0.085</f>
        <v>114.98375000000991</v>
      </c>
      <c r="K27" s="40">
        <f t="shared" si="13"/>
        <v>37.76625000010651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15000</v>
      </c>
      <c r="AI27" s="38">
        <v>19200</v>
      </c>
      <c r="AJ27" s="39">
        <f t="shared" si="14"/>
        <v>1200</v>
      </c>
      <c r="AK27" s="39">
        <f>AG12-AJ27</f>
        <v>153</v>
      </c>
      <c r="AL27" s="40">
        <f>AG12*0.085</f>
        <v>115.00500000000001</v>
      </c>
      <c r="AM27" s="40">
        <f t="shared" si="15"/>
        <v>37.99499999999999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8950</v>
      </c>
      <c r="G28" s="38">
        <v>17800</v>
      </c>
      <c r="H28" s="39">
        <f t="shared" si="12"/>
        <v>1250</v>
      </c>
      <c r="I28" s="39">
        <f>E15-H28</f>
        <v>64.760000000009313</v>
      </c>
      <c r="J28" s="40">
        <f>E15*0.085</f>
        <v>111.75460000000081</v>
      </c>
      <c r="K28" s="40">
        <f t="shared" si="13"/>
        <v>-46.994599999991493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8950</v>
      </c>
      <c r="AI28" s="38">
        <v>17800</v>
      </c>
      <c r="AJ28" s="39">
        <f t="shared" si="14"/>
        <v>1250</v>
      </c>
      <c r="AK28" s="39">
        <f>AG15-AJ28</f>
        <v>64</v>
      </c>
      <c r="AL28" s="40">
        <f>AG15*0.085</f>
        <v>111.69000000000001</v>
      </c>
      <c r="AM28" s="40">
        <f t="shared" si="15"/>
        <v>-47.690000000000012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35350</v>
      </c>
      <c r="G29" s="38">
        <v>24900</v>
      </c>
      <c r="H29" s="39">
        <f>F29+V12-G29</f>
        <v>10450</v>
      </c>
      <c r="I29" s="39">
        <f>E18-H29</f>
        <v>781.60999999998603</v>
      </c>
      <c r="J29" s="40">
        <f>E18*0.085</f>
        <v>954.68684999999891</v>
      </c>
      <c r="K29" s="40">
        <f t="shared" si="13"/>
        <v>-173.07685000001288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35350</v>
      </c>
      <c r="AI29" s="38">
        <v>24900</v>
      </c>
      <c r="AJ29" s="39">
        <f t="shared" si="14"/>
        <v>10450</v>
      </c>
      <c r="AK29" s="39">
        <f>AG18-AJ29</f>
        <v>702</v>
      </c>
      <c r="AL29" s="40">
        <f>AG18*0.085</f>
        <v>947.92000000000007</v>
      </c>
      <c r="AM29" s="40">
        <f t="shared" si="15"/>
        <v>-245.92000000000007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4400</v>
      </c>
      <c r="G30" s="38">
        <v>50</v>
      </c>
      <c r="H30" s="39">
        <f t="shared" si="12"/>
        <v>4350</v>
      </c>
      <c r="I30" s="39">
        <f>E21-H30</f>
        <v>327.59999999991851</v>
      </c>
      <c r="J30" s="40">
        <f>E21*0.085</f>
        <v>397.59599999999313</v>
      </c>
      <c r="K30" s="40">
        <f t="shared" si="13"/>
        <v>-69.996000000074616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4400</v>
      </c>
      <c r="AI30" s="38">
        <v>50</v>
      </c>
      <c r="AJ30" s="39">
        <f t="shared" si="14"/>
        <v>4350</v>
      </c>
      <c r="AK30" s="39">
        <f>AG21-AJ30</f>
        <v>327</v>
      </c>
      <c r="AL30" s="40">
        <f>AG21*0.085</f>
        <v>397.54500000000002</v>
      </c>
      <c r="AM30" s="40">
        <f t="shared" si="15"/>
        <v>-70.545000000000016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0</v>
      </c>
      <c r="C33" s="16">
        <v>0</v>
      </c>
      <c r="D33" s="16">
        <v>0</v>
      </c>
      <c r="E33" s="16">
        <v>0</v>
      </c>
      <c r="F33" s="16">
        <v>6501322</v>
      </c>
      <c r="G33" s="16">
        <v>907920</v>
      </c>
      <c r="H33" s="49">
        <v>1207511</v>
      </c>
      <c r="I33" s="16">
        <v>0</v>
      </c>
      <c r="J33" s="16">
        <v>43136997.170000002</v>
      </c>
      <c r="K33" s="16">
        <v>694647.95</v>
      </c>
      <c r="L33" s="16">
        <v>231800</v>
      </c>
      <c r="M33" s="16">
        <v>2916930</v>
      </c>
      <c r="N33" s="16">
        <v>0</v>
      </c>
      <c r="O33" s="16">
        <v>2006479</v>
      </c>
      <c r="P33" s="16">
        <v>0</v>
      </c>
      <c r="Q33" s="16">
        <v>739583.68</v>
      </c>
      <c r="R33" s="49">
        <v>0</v>
      </c>
      <c r="S33" s="16">
        <v>400003.24</v>
      </c>
      <c r="T33" s="16">
        <v>32417963.710000001</v>
      </c>
      <c r="U33" s="42">
        <f>SUM(S22-A33-B33-W27-C33-D33-E33-F33-G33-H33-I33-J33-K33-L33-M33-N33-O33-P33-Q33-R33-J35-K35-L35-M35-N35-O35-P35-Q35-S33+T33)</f>
        <v>13066615.669999782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312952.45</v>
      </c>
      <c r="K35" s="16"/>
      <c r="L35" s="16">
        <v>0</v>
      </c>
      <c r="M35" s="16">
        <v>0</v>
      </c>
      <c r="N35" s="16">
        <v>344653</v>
      </c>
      <c r="O35" s="16">
        <v>0</v>
      </c>
      <c r="P35" s="16">
        <v>0</v>
      </c>
      <c r="Q35" s="16">
        <v>0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abSelected="1" workbookViewId="0"/>
  </sheetViews>
  <sheetFormatPr defaultRowHeight="15" x14ac:dyDescent="0.25"/>
  <cols>
    <col min="1" max="1" width="9.7109375" bestFit="1" customWidth="1"/>
    <col min="5" max="8" width="10" bestFit="1" customWidth="1"/>
    <col min="10" max="10" width="10.85546875" bestFit="1" customWidth="1"/>
    <col min="11" max="11" width="10" bestFit="1" customWidth="1"/>
    <col min="13" max="13" width="10.85546875" bestFit="1" customWidth="1"/>
    <col min="15" max="18" width="10" bestFit="1" customWidth="1"/>
    <col min="19" max="19" width="12.28515625" customWidth="1"/>
    <col min="20" max="20" width="12.85546875" customWidth="1"/>
    <col min="21" max="21" width="13.28515625" customWidth="1"/>
    <col min="23" max="23" width="9.5703125" bestFit="1" customWidth="1"/>
  </cols>
  <sheetData>
    <row r="1" spans="1:51" x14ac:dyDescent="0.25">
      <c r="A1" s="1">
        <v>46288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W1" s="2"/>
      <c r="X1" s="2"/>
      <c r="Y1" s="2"/>
      <c r="Z1" s="2"/>
      <c r="AA1" s="2"/>
      <c r="AB1" s="2"/>
      <c r="AC1" s="2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Y1" s="2"/>
    </row>
    <row r="2" spans="1:51" x14ac:dyDescent="0.25">
      <c r="C2" s="2"/>
      <c r="D2" s="2"/>
      <c r="E2" s="3" t="s">
        <v>0</v>
      </c>
      <c r="F2" s="4"/>
      <c r="G2" s="4"/>
      <c r="H2" s="4"/>
      <c r="I2" s="4"/>
      <c r="J2" s="4"/>
      <c r="K2" s="4"/>
      <c r="L2" s="4"/>
      <c r="M2" s="2"/>
      <c r="N2" s="2"/>
      <c r="O2" s="2"/>
      <c r="P2" s="2"/>
      <c r="W2" s="2"/>
      <c r="X2" s="4"/>
      <c r="Y2" s="4"/>
      <c r="Z2" s="2"/>
      <c r="AA2" s="2"/>
      <c r="AB2" s="2"/>
      <c r="AC2" s="2"/>
      <c r="AD2" s="2"/>
      <c r="AE2" s="2"/>
      <c r="AF2" s="2"/>
      <c r="AG2" s="3" t="s">
        <v>0</v>
      </c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Y2" s="2"/>
    </row>
    <row r="3" spans="1:51" x14ac:dyDescent="0.25">
      <c r="C3" s="2"/>
      <c r="D3" s="4"/>
      <c r="E3" s="4"/>
      <c r="F3" s="5" t="s">
        <v>1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3</v>
      </c>
      <c r="L3" s="5" t="s">
        <v>4</v>
      </c>
      <c r="M3" s="5" t="s">
        <v>3</v>
      </c>
      <c r="N3" s="5" t="s">
        <v>4</v>
      </c>
      <c r="O3" s="5" t="s">
        <v>3</v>
      </c>
      <c r="P3" s="5" t="s">
        <v>4</v>
      </c>
      <c r="Q3" s="5" t="s">
        <v>3</v>
      </c>
      <c r="R3" s="5" t="s">
        <v>4</v>
      </c>
      <c r="S3" s="5" t="s">
        <v>5</v>
      </c>
      <c r="T3" s="6"/>
      <c r="U3" s="7" t="s">
        <v>3</v>
      </c>
      <c r="V3" s="4"/>
      <c r="W3" s="7"/>
      <c r="Y3" s="51" t="s">
        <v>6</v>
      </c>
      <c r="Z3" s="51"/>
      <c r="AA3" s="2"/>
      <c r="AB3" s="8" t="s">
        <v>7</v>
      </c>
      <c r="AC3" s="9" t="s">
        <v>5</v>
      </c>
      <c r="AD3" s="2"/>
      <c r="AE3" s="2"/>
      <c r="AF3" s="4"/>
      <c r="AG3" s="4"/>
      <c r="AH3" s="5" t="s">
        <v>1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3</v>
      </c>
      <c r="AN3" s="5" t="s">
        <v>4</v>
      </c>
      <c r="AO3" s="5" t="s">
        <v>3</v>
      </c>
      <c r="AP3" s="5" t="s">
        <v>4</v>
      </c>
      <c r="AQ3" s="5" t="s">
        <v>3</v>
      </c>
      <c r="AR3" s="5" t="s">
        <v>4</v>
      </c>
      <c r="AS3" s="5" t="s">
        <v>3</v>
      </c>
      <c r="AT3" s="5" t="s">
        <v>4</v>
      </c>
      <c r="AU3" s="5" t="s">
        <v>5</v>
      </c>
      <c r="AV3" s="6"/>
      <c r="AW3" s="7" t="s">
        <v>3</v>
      </c>
      <c r="AX3" s="4"/>
      <c r="AY3" s="7"/>
    </row>
    <row r="4" spans="1:51" x14ac:dyDescent="0.25">
      <c r="C4" s="2"/>
      <c r="D4" s="4"/>
      <c r="E4" s="4" t="s">
        <v>8</v>
      </c>
      <c r="F4" s="4">
        <v>1058401.94</v>
      </c>
      <c r="G4" s="4">
        <v>1059157.71</v>
      </c>
      <c r="H4" s="4">
        <v>1059157.71</v>
      </c>
      <c r="I4" s="4"/>
      <c r="J4" s="4"/>
      <c r="K4" s="10">
        <f>G4-F4</f>
        <v>755.77000000001863</v>
      </c>
      <c r="L4" s="6">
        <v>1359</v>
      </c>
      <c r="M4" s="10">
        <f>H4-G4</f>
        <v>0</v>
      </c>
      <c r="N4" s="6"/>
      <c r="O4" s="10">
        <f>I4</f>
        <v>0</v>
      </c>
      <c r="P4" s="6"/>
      <c r="Q4" s="10">
        <f>J4-I4</f>
        <v>0</v>
      </c>
      <c r="R4" s="6"/>
      <c r="S4" s="10">
        <f>(K4*L4)+(M4*N4)+(O4*P4)+(Q4*R4)</f>
        <v>1027091.4300000253</v>
      </c>
      <c r="T4" s="6"/>
      <c r="U4" s="7" t="s">
        <v>9</v>
      </c>
      <c r="V4" s="11">
        <f>E6+E9+E12+E15</f>
        <v>7885.4599999997299</v>
      </c>
      <c r="W4" s="11"/>
      <c r="Y4" s="12" t="s">
        <v>10</v>
      </c>
      <c r="Z4" s="13"/>
      <c r="AA4" s="2"/>
      <c r="AB4" s="2"/>
      <c r="AC4" s="14"/>
      <c r="AD4" s="2"/>
      <c r="AE4" s="2"/>
      <c r="AF4" s="4"/>
      <c r="AG4" s="4" t="s">
        <v>8</v>
      </c>
      <c r="AH4" s="4">
        <v>1058429</v>
      </c>
      <c r="AI4" s="4">
        <v>1059185</v>
      </c>
      <c r="AJ4" s="4">
        <v>1059185</v>
      </c>
      <c r="AK4" s="4"/>
      <c r="AL4" s="4"/>
      <c r="AM4" s="10">
        <f>AI4-AH4</f>
        <v>756</v>
      </c>
      <c r="AN4" s="6">
        <v>1359</v>
      </c>
      <c r="AO4" s="10">
        <f>AJ4-AI4</f>
        <v>0</v>
      </c>
      <c r="AP4" s="6"/>
      <c r="AQ4" s="10">
        <f>AK4</f>
        <v>0</v>
      </c>
      <c r="AR4" s="6"/>
      <c r="AS4" s="10">
        <f>AL4-AK4</f>
        <v>0</v>
      </c>
      <c r="AT4" s="6"/>
      <c r="AU4" s="10">
        <f>(AM4*AN4)+(AO4*AP4)+(AQ4*AR4)+(AS4*AT4)</f>
        <v>1027404</v>
      </c>
      <c r="AV4" s="6"/>
      <c r="AW4" s="7" t="s">
        <v>9</v>
      </c>
      <c r="AX4" s="11">
        <f>AG6+AG9+AG12+AG15</f>
        <v>7885</v>
      </c>
      <c r="AY4" s="11"/>
    </row>
    <row r="5" spans="1:51" x14ac:dyDescent="0.25">
      <c r="C5" s="2"/>
      <c r="D5" s="4"/>
      <c r="E5" s="4" t="s">
        <v>11</v>
      </c>
      <c r="F5" s="4">
        <v>1351747.25</v>
      </c>
      <c r="G5" s="4">
        <v>1353772.59</v>
      </c>
      <c r="H5" s="4">
        <v>1353772.59</v>
      </c>
      <c r="I5" s="4"/>
      <c r="J5" s="4"/>
      <c r="K5" s="10">
        <f>G5-F5</f>
        <v>2025.3400000000838</v>
      </c>
      <c r="L5" s="6">
        <v>1359</v>
      </c>
      <c r="M5" s="10">
        <f>H5-G5</f>
        <v>0</v>
      </c>
      <c r="N5" s="6"/>
      <c r="O5" s="10">
        <f>I5</f>
        <v>0</v>
      </c>
      <c r="P5" s="6"/>
      <c r="Q5" s="10">
        <f>J5-I5</f>
        <v>0</v>
      </c>
      <c r="R5" s="6"/>
      <c r="S5" s="10">
        <f>(K5*L5)+(M5*N5)+(O5*P5)+(Q5*R5)</f>
        <v>2752437.0600001141</v>
      </c>
      <c r="T5" s="6"/>
      <c r="U5" s="7" t="s">
        <v>12</v>
      </c>
      <c r="V5" s="15">
        <f>E18+E21</f>
        <v>17492.380000000121</v>
      </c>
      <c r="W5" s="15"/>
      <c r="Y5" s="12" t="s">
        <v>13</v>
      </c>
      <c r="Z5" s="16"/>
      <c r="AA5" s="2"/>
      <c r="AB5" s="2"/>
      <c r="AC5" s="17"/>
      <c r="AD5" s="2"/>
      <c r="AE5" s="2"/>
      <c r="AF5" s="4"/>
      <c r="AG5" s="4" t="s">
        <v>11</v>
      </c>
      <c r="AH5" s="4">
        <v>1351782</v>
      </c>
      <c r="AI5" s="4">
        <v>1353807</v>
      </c>
      <c r="AJ5" s="4">
        <v>1353807</v>
      </c>
      <c r="AK5" s="4"/>
      <c r="AL5" s="4"/>
      <c r="AM5" s="10">
        <f>AI5-AH5</f>
        <v>2025</v>
      </c>
      <c r="AN5" s="6">
        <v>1359</v>
      </c>
      <c r="AO5" s="10">
        <f>AJ5-AI5</f>
        <v>0</v>
      </c>
      <c r="AP5" s="6"/>
      <c r="AQ5" s="10">
        <f>AK5</f>
        <v>0</v>
      </c>
      <c r="AR5" s="6"/>
      <c r="AS5" s="10">
        <f>AL5-AK5</f>
        <v>0</v>
      </c>
      <c r="AT5" s="6"/>
      <c r="AU5" s="10">
        <f>(AM5*AN5)+(AO5*AP5)+(AQ5*AR5)+(AS5*AT5)</f>
        <v>2751975</v>
      </c>
      <c r="AV5" s="6"/>
      <c r="AW5" s="7" t="s">
        <v>12</v>
      </c>
      <c r="AX5" s="15">
        <f>AG18+AG21</f>
        <v>17572</v>
      </c>
      <c r="AY5" s="15"/>
    </row>
    <row r="6" spans="1:51" x14ac:dyDescent="0.25">
      <c r="C6" s="2"/>
      <c r="D6" s="18" t="s">
        <v>14</v>
      </c>
      <c r="E6" s="3">
        <f>K6+M6+O6+Q6</f>
        <v>2781.1100000001024</v>
      </c>
      <c r="F6" s="4"/>
      <c r="G6" s="4"/>
      <c r="H6" s="4"/>
      <c r="I6" s="4"/>
      <c r="J6" s="4"/>
      <c r="K6" s="19">
        <f>SUM(K4:K5)</f>
        <v>2781.1100000001024</v>
      </c>
      <c r="L6" s="6"/>
      <c r="M6" s="19">
        <f>SUM(M4:M5)</f>
        <v>0</v>
      </c>
      <c r="N6" s="6"/>
      <c r="O6" s="19">
        <f>SUM(O4:O5)</f>
        <v>0</v>
      </c>
      <c r="P6" s="6"/>
      <c r="Q6" s="19">
        <f>SUM(Q4:Q5)</f>
        <v>0</v>
      </c>
      <c r="R6" s="6"/>
      <c r="S6" s="10"/>
      <c r="T6" s="6"/>
      <c r="U6" s="2"/>
      <c r="V6" s="2"/>
      <c r="W6" s="2"/>
      <c r="Y6" s="12" t="s">
        <v>15</v>
      </c>
      <c r="Z6" s="20"/>
      <c r="AA6" s="2"/>
      <c r="AB6" s="2"/>
      <c r="AC6" s="17"/>
      <c r="AD6" s="2"/>
      <c r="AE6" s="2"/>
      <c r="AF6" s="18" t="s">
        <v>14</v>
      </c>
      <c r="AG6" s="3">
        <f>AM6+AO6+AQ6+AS6</f>
        <v>2781</v>
      </c>
      <c r="AH6" s="4"/>
      <c r="AI6" s="4"/>
      <c r="AJ6" s="4"/>
      <c r="AK6" s="4"/>
      <c r="AL6" s="4"/>
      <c r="AM6" s="19">
        <f>SUM(AM4:AM5)</f>
        <v>2781</v>
      </c>
      <c r="AN6" s="6"/>
      <c r="AO6" s="19">
        <f>SUM(AO4:AO5)</f>
        <v>0</v>
      </c>
      <c r="AP6" s="6"/>
      <c r="AQ6" s="19">
        <f>SUM(AQ4:AQ5)</f>
        <v>0</v>
      </c>
      <c r="AR6" s="6"/>
      <c r="AS6" s="19">
        <f>SUM(AS4:AS5)</f>
        <v>0</v>
      </c>
      <c r="AT6" s="6"/>
      <c r="AU6" s="10"/>
      <c r="AV6" s="6"/>
      <c r="AW6" s="2"/>
      <c r="AX6" s="2"/>
      <c r="AY6" s="2"/>
    </row>
    <row r="7" spans="1:51" x14ac:dyDescent="0.25">
      <c r="C7" s="2"/>
      <c r="D7" s="18"/>
      <c r="E7" s="4" t="s">
        <v>16</v>
      </c>
      <c r="F7" s="4">
        <v>722989.23</v>
      </c>
      <c r="G7" s="4">
        <v>723763.33</v>
      </c>
      <c r="H7" s="4">
        <v>723763.33</v>
      </c>
      <c r="I7" s="4"/>
      <c r="J7" s="4"/>
      <c r="K7" s="10">
        <f>G7-F7</f>
        <v>774.09999999997672</v>
      </c>
      <c r="L7" s="6">
        <v>1359</v>
      </c>
      <c r="M7" s="10">
        <f>H7-G7</f>
        <v>0</v>
      </c>
      <c r="N7" s="6"/>
      <c r="O7" s="10">
        <f>I7</f>
        <v>0</v>
      </c>
      <c r="P7" s="6"/>
      <c r="Q7" s="10">
        <f t="shared" ref="Q7:Q8" si="0">J7-I7</f>
        <v>0</v>
      </c>
      <c r="R7" s="6"/>
      <c r="S7" s="10">
        <f>(K7*L7)+(M7*N7)+(O7*P7)+(Q7*R7)</f>
        <v>1052001.8999999682</v>
      </c>
      <c r="T7" s="6"/>
      <c r="U7" s="7" t="s">
        <v>17</v>
      </c>
      <c r="V7" s="7"/>
      <c r="W7" s="7"/>
      <c r="Y7" s="12" t="s">
        <v>18</v>
      </c>
      <c r="Z7" s="21"/>
      <c r="AA7" s="2"/>
      <c r="AB7" s="2"/>
      <c r="AC7" s="22"/>
      <c r="AD7" s="2"/>
      <c r="AE7" s="2"/>
      <c r="AF7" s="18"/>
      <c r="AG7" s="4" t="s">
        <v>16</v>
      </c>
      <c r="AH7" s="4">
        <v>723031</v>
      </c>
      <c r="AI7" s="4">
        <v>723805</v>
      </c>
      <c r="AJ7" s="4">
        <v>723805</v>
      </c>
      <c r="AK7" s="4"/>
      <c r="AL7" s="4"/>
      <c r="AM7" s="10">
        <f>AI7-AH7</f>
        <v>774</v>
      </c>
      <c r="AN7" s="6">
        <v>1359</v>
      </c>
      <c r="AO7" s="10">
        <f>AJ7-AI7</f>
        <v>0</v>
      </c>
      <c r="AP7" s="6"/>
      <c r="AQ7" s="10">
        <f>AK7</f>
        <v>0</v>
      </c>
      <c r="AR7" s="6"/>
      <c r="AS7" s="10">
        <f t="shared" ref="AS7:AS8" si="1">AL7-AK7</f>
        <v>0</v>
      </c>
      <c r="AT7" s="6"/>
      <c r="AU7" s="10">
        <f>(AM7*AN7)+(AO7*AP7)+(AQ7*AR7)+(AS7*AT7)</f>
        <v>1051866</v>
      </c>
      <c r="AV7" s="6"/>
      <c r="AW7" s="7" t="s">
        <v>17</v>
      </c>
      <c r="AX7" s="7"/>
      <c r="AY7" s="7"/>
    </row>
    <row r="8" spans="1:51" x14ac:dyDescent="0.25">
      <c r="C8" s="2"/>
      <c r="D8" s="18"/>
      <c r="E8" s="4" t="s">
        <v>19</v>
      </c>
      <c r="F8" s="6">
        <v>1127489.55</v>
      </c>
      <c r="G8" s="6">
        <v>1128504.17</v>
      </c>
      <c r="H8" s="6">
        <v>1128504.17</v>
      </c>
      <c r="I8" s="6"/>
      <c r="J8" s="6"/>
      <c r="K8" s="10">
        <f>G8-F8</f>
        <v>1014.6199999998789</v>
      </c>
      <c r="L8" s="6">
        <v>1359</v>
      </c>
      <c r="M8" s="10">
        <f>H8-G8</f>
        <v>0</v>
      </c>
      <c r="N8" s="6"/>
      <c r="O8" s="10">
        <f>I8</f>
        <v>0</v>
      </c>
      <c r="P8" s="6"/>
      <c r="Q8" s="10">
        <f t="shared" si="0"/>
        <v>0</v>
      </c>
      <c r="R8" s="6"/>
      <c r="S8" s="10">
        <f>(K8*L8)+(M8*N8)+(O8*P8)+(Q8*R8)</f>
        <v>1378868.5799998355</v>
      </c>
      <c r="T8" s="6"/>
      <c r="U8" s="7" t="s">
        <v>20</v>
      </c>
      <c r="V8" s="23"/>
      <c r="W8" s="23"/>
      <c r="Y8" s="4"/>
      <c r="Z8" s="2"/>
      <c r="AA8" s="2"/>
      <c r="AB8" s="2"/>
      <c r="AC8" s="22"/>
      <c r="AD8" s="2"/>
      <c r="AE8" s="2"/>
      <c r="AF8" s="18"/>
      <c r="AG8" s="4" t="s">
        <v>19</v>
      </c>
      <c r="AH8" s="6">
        <v>1127532</v>
      </c>
      <c r="AI8" s="6">
        <v>1128546</v>
      </c>
      <c r="AJ8" s="6">
        <v>1128546</v>
      </c>
      <c r="AK8" s="6"/>
      <c r="AL8" s="6"/>
      <c r="AM8" s="10">
        <f>AI8-AH8</f>
        <v>1014</v>
      </c>
      <c r="AN8" s="6">
        <v>1359</v>
      </c>
      <c r="AO8" s="10">
        <f>AJ8-AI8</f>
        <v>0</v>
      </c>
      <c r="AP8" s="6"/>
      <c r="AQ8" s="10">
        <f>AK8</f>
        <v>0</v>
      </c>
      <c r="AR8" s="6"/>
      <c r="AS8" s="10">
        <f t="shared" si="1"/>
        <v>0</v>
      </c>
      <c r="AT8" s="6"/>
      <c r="AU8" s="10">
        <f>(AM8*AN8)+(AO8*AP8)+(AQ8*AR8)+(AS8*AT8)</f>
        <v>1378026</v>
      </c>
      <c r="AV8" s="6"/>
      <c r="AW8" s="7" t="s">
        <v>20</v>
      </c>
      <c r="AX8" s="23"/>
      <c r="AY8" s="23"/>
    </row>
    <row r="9" spans="1:51" x14ac:dyDescent="0.25">
      <c r="C9" s="2"/>
      <c r="D9" s="18" t="s">
        <v>21</v>
      </c>
      <c r="E9" s="3">
        <f>K9+M9+O9+Q9</f>
        <v>1788.7199999998556</v>
      </c>
      <c r="F9" s="4"/>
      <c r="G9" s="4"/>
      <c r="H9" s="4"/>
      <c r="I9" s="4"/>
      <c r="J9" s="4"/>
      <c r="K9" s="19">
        <f>SUM(K7:K8)</f>
        <v>1788.7199999998556</v>
      </c>
      <c r="L9" s="6"/>
      <c r="M9" s="19">
        <f>SUM(M7:M8)</f>
        <v>0</v>
      </c>
      <c r="N9" s="6"/>
      <c r="O9" s="19">
        <f>SUM(O7:O8)</f>
        <v>0</v>
      </c>
      <c r="P9" s="6"/>
      <c r="Q9" s="19">
        <f>SUM(Q7:Q8)</f>
        <v>0</v>
      </c>
      <c r="R9" s="6"/>
      <c r="S9" s="10"/>
      <c r="T9" s="6"/>
      <c r="U9" s="7" t="s">
        <v>11</v>
      </c>
      <c r="V9" s="23"/>
      <c r="W9" s="23"/>
      <c r="X9" s="4"/>
      <c r="Y9" s="4"/>
      <c r="Z9" s="4"/>
      <c r="AA9" s="2"/>
      <c r="AB9" s="2"/>
      <c r="AC9" s="22"/>
      <c r="AD9" s="2"/>
      <c r="AE9" s="2"/>
      <c r="AF9" s="18" t="s">
        <v>21</v>
      </c>
      <c r="AG9" s="3">
        <f>AM9+AO9+AQ9+AS9</f>
        <v>1788</v>
      </c>
      <c r="AH9" s="4"/>
      <c r="AI9" s="4"/>
      <c r="AJ9" s="4"/>
      <c r="AK9" s="4"/>
      <c r="AL9" s="4"/>
      <c r="AM9" s="19">
        <f>SUM(AM7:AM8)</f>
        <v>1788</v>
      </c>
      <c r="AN9" s="6"/>
      <c r="AO9" s="19">
        <f>SUM(AO7:AO8)</f>
        <v>0</v>
      </c>
      <c r="AP9" s="6"/>
      <c r="AQ9" s="19">
        <f>SUM(AQ7:AQ8)</f>
        <v>0</v>
      </c>
      <c r="AR9" s="6"/>
      <c r="AS9" s="19">
        <f>SUM(AS7:AS8)</f>
        <v>0</v>
      </c>
      <c r="AT9" s="6"/>
      <c r="AU9" s="10"/>
      <c r="AV9" s="6"/>
      <c r="AW9" s="7" t="s">
        <v>11</v>
      </c>
      <c r="AX9" s="23"/>
      <c r="AY9" s="23"/>
    </row>
    <row r="10" spans="1:51" x14ac:dyDescent="0.25">
      <c r="C10" s="2"/>
      <c r="D10" s="18"/>
      <c r="E10" s="4" t="s">
        <v>22</v>
      </c>
      <c r="F10" s="6">
        <v>608055.31000000006</v>
      </c>
      <c r="G10" s="6">
        <v>608395.1</v>
      </c>
      <c r="H10" s="6">
        <v>608395.1</v>
      </c>
      <c r="I10" s="6"/>
      <c r="J10" s="6"/>
      <c r="K10" s="10">
        <f>G10-F10</f>
        <v>339.78999999992084</v>
      </c>
      <c r="L10" s="6">
        <v>1359</v>
      </c>
      <c r="M10" s="10">
        <f>H10-G10</f>
        <v>0</v>
      </c>
      <c r="N10" s="6"/>
      <c r="O10" s="10">
        <f>I10</f>
        <v>0</v>
      </c>
      <c r="P10" s="6"/>
      <c r="Q10" s="10">
        <f t="shared" ref="Q10:Q11" si="2">J10-I10</f>
        <v>0</v>
      </c>
      <c r="R10" s="6"/>
      <c r="S10" s="10">
        <f>(K10*L10)+(M10*N10)+(O10*P10)+(Q10*R10)</f>
        <v>461774.60999989242</v>
      </c>
      <c r="T10" s="6"/>
      <c r="U10" s="7" t="s">
        <v>16</v>
      </c>
      <c r="V10" s="23"/>
      <c r="W10" s="23"/>
      <c r="X10" s="4"/>
      <c r="Y10" s="4"/>
      <c r="Z10" s="4"/>
      <c r="AA10" s="2"/>
      <c r="AB10" s="4"/>
      <c r="AC10" s="24"/>
      <c r="AD10" s="25"/>
      <c r="AE10" s="2"/>
      <c r="AF10" s="18"/>
      <c r="AG10" s="4" t="s">
        <v>22</v>
      </c>
      <c r="AH10" s="6">
        <v>608061</v>
      </c>
      <c r="AI10" s="6">
        <v>608401</v>
      </c>
      <c r="AJ10" s="6">
        <v>608401</v>
      </c>
      <c r="AK10" s="6"/>
      <c r="AL10" s="6"/>
      <c r="AM10" s="10">
        <f>AI10-AH10</f>
        <v>340</v>
      </c>
      <c r="AN10" s="6">
        <v>1359</v>
      </c>
      <c r="AO10" s="10">
        <f>AJ10-AI10</f>
        <v>0</v>
      </c>
      <c r="AP10" s="6"/>
      <c r="AQ10" s="10">
        <f>AK10</f>
        <v>0</v>
      </c>
      <c r="AR10" s="6"/>
      <c r="AS10" s="10">
        <f t="shared" ref="AS10:AS11" si="3">AL10-AK10</f>
        <v>0</v>
      </c>
      <c r="AT10" s="6"/>
      <c r="AU10" s="10">
        <f>(AM10*AN10)+(AO10*AP10)+(AQ10*AR10)+(AS10*AT10)</f>
        <v>462060</v>
      </c>
      <c r="AV10" s="6"/>
      <c r="AW10" s="7" t="s">
        <v>16</v>
      </c>
      <c r="AX10" s="23"/>
      <c r="AY10" s="23"/>
    </row>
    <row r="11" spans="1:51" x14ac:dyDescent="0.25">
      <c r="C11" s="2"/>
      <c r="D11" s="2"/>
      <c r="E11" s="4" t="s">
        <v>23</v>
      </c>
      <c r="F11" s="6">
        <v>957351.43</v>
      </c>
      <c r="G11" s="6">
        <v>958501.82</v>
      </c>
      <c r="H11" s="6">
        <v>958501.82</v>
      </c>
      <c r="I11" s="6"/>
      <c r="J11" s="6"/>
      <c r="K11" s="10">
        <f>G11-F11</f>
        <v>1150.3899999998976</v>
      </c>
      <c r="L11" s="6">
        <v>1359</v>
      </c>
      <c r="M11" s="10">
        <f>H11-G11</f>
        <v>0</v>
      </c>
      <c r="N11" s="6"/>
      <c r="O11" s="10">
        <f>I11</f>
        <v>0</v>
      </c>
      <c r="P11" s="6"/>
      <c r="Q11" s="10">
        <f t="shared" si="2"/>
        <v>0</v>
      </c>
      <c r="R11" s="6"/>
      <c r="S11" s="10">
        <f>(K11*L11)+(M11*N11)+(O11*P11)+(Q11*R11)</f>
        <v>1563380.0099998608</v>
      </c>
      <c r="T11" s="6"/>
      <c r="U11" s="7" t="s">
        <v>19</v>
      </c>
      <c r="V11" s="23"/>
      <c r="W11" s="23"/>
      <c r="X11" s="4"/>
      <c r="Y11" s="4"/>
      <c r="Z11" s="4"/>
      <c r="AA11" s="2"/>
      <c r="AB11" s="2"/>
      <c r="AC11" s="24"/>
      <c r="AD11" s="25"/>
      <c r="AE11" s="2"/>
      <c r="AF11" s="2"/>
      <c r="AG11" s="4" t="s">
        <v>23</v>
      </c>
      <c r="AH11" s="6">
        <v>957393</v>
      </c>
      <c r="AI11" s="6">
        <v>958543</v>
      </c>
      <c r="AJ11" s="6">
        <v>958543</v>
      </c>
      <c r="AK11" s="6"/>
      <c r="AL11" s="6"/>
      <c r="AM11" s="10">
        <f>AI11-AH11</f>
        <v>1150</v>
      </c>
      <c r="AN11" s="6">
        <v>1359</v>
      </c>
      <c r="AO11" s="10">
        <f>AJ11-AI11</f>
        <v>0</v>
      </c>
      <c r="AP11" s="6"/>
      <c r="AQ11" s="10">
        <f>AK11</f>
        <v>0</v>
      </c>
      <c r="AR11" s="6"/>
      <c r="AS11" s="10">
        <f t="shared" si="3"/>
        <v>0</v>
      </c>
      <c r="AT11" s="6"/>
      <c r="AU11" s="10">
        <f>(AM11*AN11)+(AO11*AP11)+(AQ11*AR11)+(AS11*AT11)</f>
        <v>1562850</v>
      </c>
      <c r="AV11" s="6"/>
      <c r="AW11" s="7" t="s">
        <v>19</v>
      </c>
      <c r="AX11" s="23"/>
      <c r="AY11" s="23"/>
    </row>
    <row r="12" spans="1:51" x14ac:dyDescent="0.25">
      <c r="C12" s="2"/>
      <c r="D12" s="18" t="s">
        <v>24</v>
      </c>
      <c r="E12" s="3">
        <f>K12+M12+O12+Q12</f>
        <v>1490.1799999998184</v>
      </c>
      <c r="F12" s="4"/>
      <c r="G12" s="4"/>
      <c r="H12" s="4"/>
      <c r="I12" s="4"/>
      <c r="J12" s="4"/>
      <c r="K12" s="19">
        <f>SUM(K10:K11)</f>
        <v>1490.1799999998184</v>
      </c>
      <c r="L12" s="6"/>
      <c r="M12" s="19">
        <f>SUM(M10:M11)</f>
        <v>0</v>
      </c>
      <c r="N12" s="6"/>
      <c r="O12" s="19">
        <f>SUM(O10:O11)</f>
        <v>0</v>
      </c>
      <c r="P12" s="6"/>
      <c r="Q12" s="19">
        <f>SUM(Q10:Q11)</f>
        <v>0</v>
      </c>
      <c r="R12" s="6"/>
      <c r="S12" s="10"/>
      <c r="T12" s="6"/>
      <c r="U12" s="7" t="s">
        <v>25</v>
      </c>
      <c r="V12" s="23"/>
      <c r="W12" s="23"/>
      <c r="X12" s="6"/>
      <c r="Y12" s="6"/>
      <c r="Z12" s="6"/>
      <c r="AA12" s="2"/>
      <c r="AB12" s="2"/>
      <c r="AC12" s="6"/>
      <c r="AD12" s="26"/>
      <c r="AE12" s="2"/>
      <c r="AF12" s="18" t="s">
        <v>24</v>
      </c>
      <c r="AG12" s="3">
        <f>AM12+AO12+AQ12+AS12</f>
        <v>1490</v>
      </c>
      <c r="AH12" s="4"/>
      <c r="AI12" s="4"/>
      <c r="AJ12" s="4"/>
      <c r="AK12" s="4"/>
      <c r="AL12" s="4"/>
      <c r="AM12" s="19">
        <f>SUM(AM10:AM11)</f>
        <v>1490</v>
      </c>
      <c r="AN12" s="6"/>
      <c r="AO12" s="19">
        <f>SUM(AO10:AO11)</f>
        <v>0</v>
      </c>
      <c r="AP12" s="6"/>
      <c r="AQ12" s="19">
        <f>SUM(AQ10:AQ11)</f>
        <v>0</v>
      </c>
      <c r="AR12" s="6"/>
      <c r="AS12" s="19">
        <f>SUM(AS10:AS11)</f>
        <v>0</v>
      </c>
      <c r="AT12" s="6"/>
      <c r="AU12" s="10"/>
      <c r="AV12" s="6"/>
      <c r="AW12" s="7" t="s">
        <v>25</v>
      </c>
      <c r="AX12" s="23"/>
      <c r="AY12" s="23"/>
    </row>
    <row r="13" spans="1:51" x14ac:dyDescent="0.25">
      <c r="C13" s="2"/>
      <c r="D13" s="2"/>
      <c r="E13" s="4" t="s">
        <v>26</v>
      </c>
      <c r="F13" s="6">
        <v>538004.36</v>
      </c>
      <c r="G13" s="6">
        <v>538675.67000000004</v>
      </c>
      <c r="H13" s="6">
        <v>538675.67000000004</v>
      </c>
      <c r="I13" s="6"/>
      <c r="J13" s="6"/>
      <c r="K13" s="10">
        <f>G13-F13</f>
        <v>671.31000000005588</v>
      </c>
      <c r="L13" s="6">
        <v>1359</v>
      </c>
      <c r="M13" s="10">
        <f>H13-G13</f>
        <v>0</v>
      </c>
      <c r="N13" s="6"/>
      <c r="O13" s="10">
        <f>I13</f>
        <v>0</v>
      </c>
      <c r="P13" s="6"/>
      <c r="Q13" s="10">
        <f t="shared" ref="Q13:Q14" si="4">J13-I13</f>
        <v>0</v>
      </c>
      <c r="R13" s="6"/>
      <c r="S13" s="10">
        <f>(K13*L13)+(M13*N13)+(O13*P13)+(Q13*R13)</f>
        <v>912310.29000007594</v>
      </c>
      <c r="T13" s="6"/>
      <c r="U13" s="7" t="s">
        <v>27</v>
      </c>
      <c r="V13" s="23"/>
      <c r="W13" s="23"/>
      <c r="X13" s="6"/>
      <c r="Y13" s="6"/>
      <c r="Z13" s="6"/>
      <c r="AA13" s="2"/>
      <c r="AB13" s="2"/>
      <c r="AC13" s="6"/>
      <c r="AD13" s="26"/>
      <c r="AE13" s="2"/>
      <c r="AF13" s="2"/>
      <c r="AG13" s="4" t="s">
        <v>26</v>
      </c>
      <c r="AH13" s="6">
        <v>538045</v>
      </c>
      <c r="AI13" s="6">
        <v>538717</v>
      </c>
      <c r="AJ13" s="6">
        <v>538717</v>
      </c>
      <c r="AK13" s="6"/>
      <c r="AL13" s="6"/>
      <c r="AM13" s="10">
        <f>AI13-AH13</f>
        <v>672</v>
      </c>
      <c r="AN13" s="6">
        <v>1359</v>
      </c>
      <c r="AO13" s="10">
        <f>AJ13-AI13</f>
        <v>0</v>
      </c>
      <c r="AP13" s="6"/>
      <c r="AQ13" s="10">
        <f>AK13</f>
        <v>0</v>
      </c>
      <c r="AR13" s="6"/>
      <c r="AS13" s="10">
        <f t="shared" ref="AS13:AS14" si="5">AL13-AK13</f>
        <v>0</v>
      </c>
      <c r="AT13" s="6"/>
      <c r="AU13" s="10">
        <f>(AM13*AN13)+(AO13*AP13)+(AQ13*AR13)+(AS13*AT13)</f>
        <v>913248</v>
      </c>
      <c r="AV13" s="6"/>
      <c r="AW13" s="7" t="s">
        <v>27</v>
      </c>
      <c r="AX13" s="23"/>
      <c r="AY13" s="23"/>
    </row>
    <row r="14" spans="1:51" x14ac:dyDescent="0.25">
      <c r="C14" s="2"/>
      <c r="D14" s="18"/>
      <c r="E14" s="4" t="s">
        <v>28</v>
      </c>
      <c r="F14" s="4">
        <v>944594.06</v>
      </c>
      <c r="G14" s="4">
        <v>945748.2</v>
      </c>
      <c r="H14" s="4">
        <v>945748.2</v>
      </c>
      <c r="I14" s="4"/>
      <c r="J14" s="4"/>
      <c r="K14" s="10">
        <f>G14-F14</f>
        <v>1154.1399999998976</v>
      </c>
      <c r="L14" s="6">
        <v>1359</v>
      </c>
      <c r="M14" s="10">
        <f>H14-G14</f>
        <v>0</v>
      </c>
      <c r="N14" s="6"/>
      <c r="O14" s="10">
        <f>I14</f>
        <v>0</v>
      </c>
      <c r="P14" s="6"/>
      <c r="Q14" s="10">
        <f t="shared" si="4"/>
        <v>0</v>
      </c>
      <c r="R14" s="6"/>
      <c r="S14" s="10">
        <f>(K14*L14)+(M14*N14)+(O14*P14)+(Q14*R14)</f>
        <v>1568476.2599998608</v>
      </c>
      <c r="T14" s="6"/>
      <c r="U14" s="2"/>
      <c r="V14" s="2"/>
      <c r="W14" s="2"/>
      <c r="X14" s="4"/>
      <c r="Y14" s="4"/>
      <c r="Z14" s="4"/>
      <c r="AA14" s="2"/>
      <c r="AB14" s="27"/>
      <c r="AC14" s="6"/>
      <c r="AD14" s="26"/>
      <c r="AE14" s="2"/>
      <c r="AF14" s="18"/>
      <c r="AG14" s="4" t="s">
        <v>28</v>
      </c>
      <c r="AH14" s="4">
        <v>944626</v>
      </c>
      <c r="AI14" s="4">
        <v>945780</v>
      </c>
      <c r="AJ14" s="4">
        <v>945780</v>
      </c>
      <c r="AK14" s="4"/>
      <c r="AL14" s="4"/>
      <c r="AM14" s="10">
        <f>AI14-AH14</f>
        <v>1154</v>
      </c>
      <c r="AN14" s="6">
        <v>1359</v>
      </c>
      <c r="AO14" s="10">
        <f>AJ14-AI14</f>
        <v>0</v>
      </c>
      <c r="AP14" s="6"/>
      <c r="AQ14" s="10">
        <f>AK14</f>
        <v>0</v>
      </c>
      <c r="AR14" s="6"/>
      <c r="AS14" s="10">
        <f t="shared" si="5"/>
        <v>0</v>
      </c>
      <c r="AT14" s="6"/>
      <c r="AU14" s="10">
        <f>(AM14*AN14)+(AO14*AP14)+(AQ14*AR14)+(AS14*AT14)</f>
        <v>1568286</v>
      </c>
      <c r="AV14" s="6"/>
      <c r="AW14" s="2"/>
      <c r="AX14" s="2"/>
      <c r="AY14" s="2"/>
    </row>
    <row r="15" spans="1:51" x14ac:dyDescent="0.25">
      <c r="C15" s="2"/>
      <c r="D15" s="18" t="s">
        <v>29</v>
      </c>
      <c r="E15" s="3">
        <f>K15+M15+O15+Q15</f>
        <v>1825.4499999999534</v>
      </c>
      <c r="F15" s="4"/>
      <c r="G15" s="4"/>
      <c r="H15" s="4"/>
      <c r="I15" s="4"/>
      <c r="J15" s="4"/>
      <c r="K15" s="19">
        <f>SUM(K13:K14)</f>
        <v>1825.4499999999534</v>
      </c>
      <c r="L15" s="6"/>
      <c r="M15" s="19">
        <f>SUM(M13:M14)</f>
        <v>0</v>
      </c>
      <c r="N15" s="6"/>
      <c r="O15" s="19">
        <f>SUM(O13:O14)</f>
        <v>0</v>
      </c>
      <c r="P15" s="6"/>
      <c r="Q15" s="19">
        <f>SUM(Q13:Q14)</f>
        <v>0</v>
      </c>
      <c r="R15" s="6"/>
      <c r="S15" s="28"/>
      <c r="T15" s="6"/>
      <c r="U15" s="7"/>
      <c r="V15" s="23"/>
      <c r="W15" s="23"/>
      <c r="X15" s="6"/>
      <c r="Y15" s="6"/>
      <c r="Z15" s="6"/>
      <c r="AA15" s="2"/>
      <c r="AB15" s="29" t="s">
        <v>30</v>
      </c>
      <c r="AC15" s="30">
        <f>SUM(AC4:AC14)</f>
        <v>0</v>
      </c>
      <c r="AD15" s="26"/>
      <c r="AE15" s="2"/>
      <c r="AF15" s="18" t="s">
        <v>29</v>
      </c>
      <c r="AG15" s="3">
        <f>AM15+AO15+AQ15+AS15</f>
        <v>1826</v>
      </c>
      <c r="AH15" s="4"/>
      <c r="AI15" s="4"/>
      <c r="AJ15" s="4"/>
      <c r="AK15" s="4"/>
      <c r="AL15" s="4"/>
      <c r="AM15" s="19">
        <f>SUM(AM13:AM14)</f>
        <v>1826</v>
      </c>
      <c r="AN15" s="6"/>
      <c r="AO15" s="19">
        <f>SUM(AO13:AO14)</f>
        <v>0</v>
      </c>
      <c r="AP15" s="6"/>
      <c r="AQ15" s="19">
        <f>SUM(AQ13:AQ14)</f>
        <v>0</v>
      </c>
      <c r="AR15" s="6"/>
      <c r="AS15" s="19">
        <f>SUM(AS13:AS14)</f>
        <v>0</v>
      </c>
      <c r="AT15" s="6"/>
      <c r="AU15" s="28"/>
      <c r="AV15" s="6"/>
      <c r="AW15" s="7"/>
      <c r="AX15" s="23"/>
      <c r="AY15" s="23"/>
    </row>
    <row r="16" spans="1:51" x14ac:dyDescent="0.25">
      <c r="C16" s="31"/>
      <c r="D16" s="7"/>
      <c r="E16" s="4" t="s">
        <v>25</v>
      </c>
      <c r="F16" s="4">
        <v>759110.37</v>
      </c>
      <c r="G16" s="4">
        <v>768313.64</v>
      </c>
      <c r="H16" s="4">
        <v>768313.64</v>
      </c>
      <c r="I16" s="4"/>
      <c r="J16" s="4"/>
      <c r="K16" s="10">
        <f>G16-F16</f>
        <v>9203.2700000000186</v>
      </c>
      <c r="L16" s="6">
        <v>1857</v>
      </c>
      <c r="M16" s="10">
        <f>H16-G16</f>
        <v>0</v>
      </c>
      <c r="N16" s="6"/>
      <c r="O16" s="10">
        <f>I16</f>
        <v>0</v>
      </c>
      <c r="P16" s="6"/>
      <c r="Q16" s="10">
        <f t="shared" ref="Q16:Q17" si="6">J16-I16</f>
        <v>0</v>
      </c>
      <c r="R16" s="6"/>
      <c r="S16" s="10">
        <f>(K16*L16)+(M16*N16)+(O16*P16)+(Q16*R16)</f>
        <v>17090472.390000034</v>
      </c>
      <c r="T16" s="6"/>
      <c r="U16" s="7" t="s">
        <v>31</v>
      </c>
      <c r="V16" s="4"/>
      <c r="W16" s="32" t="s">
        <v>5</v>
      </c>
      <c r="X16" s="6"/>
      <c r="Y16" s="6"/>
      <c r="Z16" s="6"/>
      <c r="AA16" s="6"/>
      <c r="AB16" s="2"/>
      <c r="AC16" s="2"/>
      <c r="AD16" s="31"/>
      <c r="AE16" s="31"/>
      <c r="AF16" s="7"/>
      <c r="AG16" s="4" t="s">
        <v>25</v>
      </c>
      <c r="AH16" s="4">
        <v>2113402</v>
      </c>
      <c r="AI16" s="4">
        <v>2122685</v>
      </c>
      <c r="AJ16" s="4">
        <v>2122685</v>
      </c>
      <c r="AK16" s="4"/>
      <c r="AL16" s="4"/>
      <c r="AM16" s="10">
        <f>AI16-AH16</f>
        <v>9283</v>
      </c>
      <c r="AN16" s="6">
        <v>1857</v>
      </c>
      <c r="AO16" s="10">
        <f>AJ16-AI16</f>
        <v>0</v>
      </c>
      <c r="AP16" s="6"/>
      <c r="AQ16" s="10">
        <f>AK16</f>
        <v>0</v>
      </c>
      <c r="AR16" s="6"/>
      <c r="AS16" s="10">
        <f t="shared" ref="AS16:AS17" si="7">AL16-AK16</f>
        <v>0</v>
      </c>
      <c r="AT16" s="6"/>
      <c r="AU16" s="10">
        <f>(AM16*AN16)+(AO16*AP16)+(AQ16*AR16)+(AS16*AT16)</f>
        <v>17238531</v>
      </c>
      <c r="AV16" s="6"/>
      <c r="AW16" s="7" t="s">
        <v>31</v>
      </c>
      <c r="AX16" s="4"/>
      <c r="AY16" s="32" t="s">
        <v>5</v>
      </c>
    </row>
    <row r="17" spans="1:51" x14ac:dyDescent="0.25">
      <c r="C17" s="31"/>
      <c r="D17" s="2"/>
      <c r="E17" s="4" t="s">
        <v>27</v>
      </c>
      <c r="F17" s="6">
        <v>754413.44</v>
      </c>
      <c r="G17" s="6">
        <v>762702.55</v>
      </c>
      <c r="H17" s="6">
        <v>762702.55</v>
      </c>
      <c r="I17" s="6"/>
      <c r="J17" s="6"/>
      <c r="K17" s="10">
        <f>G17-F17</f>
        <v>8289.1100000001024</v>
      </c>
      <c r="L17" s="6">
        <v>1857</v>
      </c>
      <c r="M17" s="10">
        <f>H17-G17</f>
        <v>0</v>
      </c>
      <c r="N17" s="6"/>
      <c r="O17" s="10">
        <f>I17</f>
        <v>0</v>
      </c>
      <c r="P17" s="6"/>
      <c r="Q17" s="10">
        <f t="shared" si="6"/>
        <v>0</v>
      </c>
      <c r="R17" s="6"/>
      <c r="S17" s="10">
        <f>(K17*L17)+(M17*N17)+(O17*P17)+(Q17*R17)</f>
        <v>15392877.27000019</v>
      </c>
      <c r="T17" s="2"/>
      <c r="U17" s="4"/>
      <c r="V17" s="4"/>
      <c r="W17" s="33"/>
      <c r="X17" s="4"/>
      <c r="Y17" s="4"/>
      <c r="Z17" s="4"/>
      <c r="AA17" s="6"/>
      <c r="AB17" s="2"/>
      <c r="AC17" s="2"/>
      <c r="AD17" s="31"/>
      <c r="AE17" s="31"/>
      <c r="AF17" s="2"/>
      <c r="AG17" s="4" t="s">
        <v>27</v>
      </c>
      <c r="AH17" s="6">
        <v>1787855</v>
      </c>
      <c r="AI17" s="6">
        <v>1796144</v>
      </c>
      <c r="AJ17" s="6">
        <v>1796144</v>
      </c>
      <c r="AK17" s="6"/>
      <c r="AL17" s="6"/>
      <c r="AM17" s="10">
        <f>AI17-AH17</f>
        <v>8289</v>
      </c>
      <c r="AN17" s="6">
        <v>1857</v>
      </c>
      <c r="AO17" s="10">
        <f>AJ17-AI17</f>
        <v>0</v>
      </c>
      <c r="AP17" s="6"/>
      <c r="AQ17" s="10">
        <f>AK17</f>
        <v>0</v>
      </c>
      <c r="AR17" s="6"/>
      <c r="AS17" s="10">
        <f t="shared" si="7"/>
        <v>0</v>
      </c>
      <c r="AT17" s="6"/>
      <c r="AU17" s="10">
        <f>(AM17*AN17)+(AO17*AP17)+(AQ17*AR17)+(AS17*AT17)</f>
        <v>15392673</v>
      </c>
      <c r="AV17" s="2"/>
      <c r="AW17" s="4"/>
      <c r="AX17" s="4"/>
      <c r="AY17" s="33"/>
    </row>
    <row r="18" spans="1:51" x14ac:dyDescent="0.25">
      <c r="C18" s="2"/>
      <c r="D18" s="18" t="s">
        <v>32</v>
      </c>
      <c r="E18" s="3">
        <f>K18+M18+O18+Q18</f>
        <v>17492.380000000121</v>
      </c>
      <c r="F18" s="4"/>
      <c r="G18" s="4"/>
      <c r="H18" s="4"/>
      <c r="I18" s="4"/>
      <c r="J18" s="4"/>
      <c r="K18" s="19">
        <f>SUM(K16:K17)</f>
        <v>17492.380000000121</v>
      </c>
      <c r="L18" s="6"/>
      <c r="M18" s="19">
        <f>SUM(M16:M17)</f>
        <v>0</v>
      </c>
      <c r="N18" s="6"/>
      <c r="O18" s="19">
        <f>SUM(O16:O17)</f>
        <v>0</v>
      </c>
      <c r="P18" s="6"/>
      <c r="Q18" s="19">
        <f>SUM(Q16:Q17)</f>
        <v>0</v>
      </c>
      <c r="R18" s="6"/>
      <c r="S18" s="28"/>
      <c r="T18" s="2"/>
      <c r="U18" s="4"/>
      <c r="V18" s="4"/>
      <c r="W18" s="33"/>
      <c r="X18" s="6"/>
      <c r="Y18" s="6"/>
      <c r="Z18" s="6"/>
      <c r="AA18" s="4"/>
      <c r="AB18" s="2"/>
      <c r="AC18" s="2"/>
      <c r="AD18" s="2"/>
      <c r="AE18" s="2"/>
      <c r="AF18" s="18" t="s">
        <v>32</v>
      </c>
      <c r="AG18" s="3">
        <f>AM18+AO18+AQ18+AS18</f>
        <v>17572</v>
      </c>
      <c r="AH18" s="4"/>
      <c r="AI18" s="4"/>
      <c r="AJ18" s="4"/>
      <c r="AK18" s="4"/>
      <c r="AL18" s="4"/>
      <c r="AM18" s="19">
        <f>SUM(AM16:AM17)</f>
        <v>17572</v>
      </c>
      <c r="AN18" s="6"/>
      <c r="AO18" s="19">
        <f>SUM(AO16:AO17)</f>
        <v>0</v>
      </c>
      <c r="AP18" s="6"/>
      <c r="AQ18" s="19">
        <f>SUM(AQ16:AQ17)</f>
        <v>0</v>
      </c>
      <c r="AR18" s="6"/>
      <c r="AS18" s="19">
        <f>SUM(AS16:AS17)</f>
        <v>0</v>
      </c>
      <c r="AT18" s="6"/>
      <c r="AU18" s="28"/>
      <c r="AV18" s="2"/>
      <c r="AW18" s="4"/>
      <c r="AX18" s="4"/>
      <c r="AY18" s="33"/>
    </row>
    <row r="19" spans="1:51" x14ac:dyDescent="0.25">
      <c r="C19" s="31"/>
      <c r="D19" s="34"/>
      <c r="E19" s="4" t="s">
        <v>33</v>
      </c>
      <c r="F19" s="6">
        <v>444685.69</v>
      </c>
      <c r="G19" s="6">
        <v>444685.69</v>
      </c>
      <c r="H19" s="6">
        <v>444685.69</v>
      </c>
      <c r="I19" s="6"/>
      <c r="J19" s="6"/>
      <c r="K19" s="10">
        <f t="shared" ref="K19:K20" si="8">G19-F19</f>
        <v>0</v>
      </c>
      <c r="L19" s="6">
        <v>1857</v>
      </c>
      <c r="M19" s="10">
        <f>H19-G19</f>
        <v>0</v>
      </c>
      <c r="N19" s="6"/>
      <c r="O19" s="10">
        <f>I19</f>
        <v>0</v>
      </c>
      <c r="P19" s="6"/>
      <c r="Q19" s="10">
        <f t="shared" ref="Q19:Q20" si="9">J19-I19</f>
        <v>0</v>
      </c>
      <c r="R19" s="6"/>
      <c r="S19" s="10">
        <f>(K19*L19)+(M19*N19)+(O19*P19)+(Q19*R19)</f>
        <v>0</v>
      </c>
      <c r="T19" s="2"/>
      <c r="U19" s="4"/>
      <c r="V19" s="22"/>
      <c r="W19" s="22"/>
      <c r="X19" s="6"/>
      <c r="Y19" s="6"/>
      <c r="Z19" s="6"/>
      <c r="AA19" s="6"/>
      <c r="AB19" s="2"/>
      <c r="AC19" s="2"/>
      <c r="AD19" s="31"/>
      <c r="AE19" s="31"/>
      <c r="AF19" s="34"/>
      <c r="AG19" s="4" t="s">
        <v>33</v>
      </c>
      <c r="AH19" s="6">
        <v>1284697</v>
      </c>
      <c r="AI19" s="6">
        <v>1284697</v>
      </c>
      <c r="AJ19" s="6">
        <v>1284697</v>
      </c>
      <c r="AK19" s="6"/>
      <c r="AL19" s="6"/>
      <c r="AM19" s="10">
        <f t="shared" ref="AM19:AM20" si="10">AI19-AH19</f>
        <v>0</v>
      </c>
      <c r="AN19" s="6">
        <v>1857</v>
      </c>
      <c r="AO19" s="10">
        <f>AJ19-AI19</f>
        <v>0</v>
      </c>
      <c r="AP19" s="6"/>
      <c r="AQ19" s="10">
        <f>AK19</f>
        <v>0</v>
      </c>
      <c r="AR19" s="6"/>
      <c r="AS19" s="10">
        <f t="shared" ref="AS19:AS20" si="11">AL19-AK19</f>
        <v>0</v>
      </c>
      <c r="AT19" s="6"/>
      <c r="AU19" s="10">
        <f>(AM19*AN19)+(AO19*AP19)+(AQ19*AR19)+(AS19*AT19)</f>
        <v>0</v>
      </c>
      <c r="AV19" s="2"/>
      <c r="AW19" s="4"/>
      <c r="AX19" s="22"/>
      <c r="AY19" s="22"/>
    </row>
    <row r="20" spans="1:51" x14ac:dyDescent="0.25">
      <c r="C20" s="31"/>
      <c r="D20" s="7"/>
      <c r="E20" s="4" t="s">
        <v>34</v>
      </c>
      <c r="F20" s="6">
        <v>532600.44999999995</v>
      </c>
      <c r="G20" s="6">
        <v>532600.44999999995</v>
      </c>
      <c r="H20" s="6">
        <v>532600.44999999995</v>
      </c>
      <c r="I20" s="6"/>
      <c r="J20" s="6"/>
      <c r="K20" s="10">
        <f t="shared" si="8"/>
        <v>0</v>
      </c>
      <c r="L20" s="6">
        <v>1857</v>
      </c>
      <c r="M20" s="10">
        <f>H20-G20</f>
        <v>0</v>
      </c>
      <c r="N20" s="6"/>
      <c r="O20" s="10">
        <f>I20</f>
        <v>0</v>
      </c>
      <c r="P20" s="6"/>
      <c r="Q20" s="10">
        <f t="shared" si="9"/>
        <v>0</v>
      </c>
      <c r="R20" s="6"/>
      <c r="S20" s="10">
        <f>(K20*L20)+(M20*N20)+(O20*P20)+(Q20*R20)</f>
        <v>0</v>
      </c>
      <c r="T20" s="2"/>
      <c r="U20" s="4"/>
      <c r="V20" s="22"/>
      <c r="W20" s="22"/>
      <c r="X20" s="4"/>
      <c r="Y20" s="4"/>
      <c r="Z20" s="4"/>
      <c r="AA20" s="6"/>
      <c r="AB20" s="2"/>
      <c r="AC20" s="2"/>
      <c r="AD20" s="31"/>
      <c r="AE20" s="31"/>
      <c r="AF20" s="7"/>
      <c r="AG20" s="4" t="s">
        <v>34</v>
      </c>
      <c r="AH20" s="6">
        <v>1307129</v>
      </c>
      <c r="AI20" s="6">
        <v>1307129</v>
      </c>
      <c r="AJ20" s="6">
        <v>1307129</v>
      </c>
      <c r="AK20" s="6"/>
      <c r="AL20" s="6"/>
      <c r="AM20" s="10">
        <f t="shared" si="10"/>
        <v>0</v>
      </c>
      <c r="AN20" s="6">
        <v>1857</v>
      </c>
      <c r="AO20" s="10">
        <f>AJ20-AI20</f>
        <v>0</v>
      </c>
      <c r="AP20" s="6"/>
      <c r="AQ20" s="10">
        <f>AK20</f>
        <v>0</v>
      </c>
      <c r="AR20" s="6"/>
      <c r="AS20" s="10">
        <f t="shared" si="11"/>
        <v>0</v>
      </c>
      <c r="AT20" s="6"/>
      <c r="AU20" s="10">
        <f>(AM20*AN20)+(AO20*AP20)+(AQ20*AR20)+(AS20*AT20)</f>
        <v>0</v>
      </c>
      <c r="AV20" s="2"/>
      <c r="AW20" s="4"/>
      <c r="AX20" s="22"/>
      <c r="AY20" s="22"/>
    </row>
    <row r="21" spans="1:51" x14ac:dyDescent="0.25">
      <c r="C21" s="2"/>
      <c r="D21" s="18" t="s">
        <v>35</v>
      </c>
      <c r="E21" s="3">
        <f>K21+M21+O21+Q21</f>
        <v>0</v>
      </c>
      <c r="F21" s="4"/>
      <c r="G21" s="4"/>
      <c r="H21" s="4"/>
      <c r="I21" s="4"/>
      <c r="J21" s="4"/>
      <c r="K21" s="19">
        <f>SUM(K19:K20)</f>
        <v>0</v>
      </c>
      <c r="L21" s="6"/>
      <c r="M21" s="19">
        <f>SUM(M19:M20)</f>
        <v>0</v>
      </c>
      <c r="N21" s="6"/>
      <c r="O21" s="19">
        <f>SUM(O19:O20)</f>
        <v>0</v>
      </c>
      <c r="P21" s="6"/>
      <c r="Q21" s="19">
        <f>SUM(Q19:Q20)</f>
        <v>0</v>
      </c>
      <c r="R21" s="6"/>
      <c r="S21" s="28"/>
      <c r="T21" s="2"/>
      <c r="U21" s="4"/>
      <c r="V21" s="22"/>
      <c r="W21" s="22"/>
      <c r="X21" s="4"/>
      <c r="Y21" s="4"/>
      <c r="Z21" s="4"/>
      <c r="AA21" s="25"/>
      <c r="AB21" s="7"/>
      <c r="AC21" s="2"/>
      <c r="AD21" s="2"/>
      <c r="AE21" s="2"/>
      <c r="AF21" s="18" t="s">
        <v>35</v>
      </c>
      <c r="AG21" s="3">
        <f>AM21+AO21+AQ21+AS21</f>
        <v>0</v>
      </c>
      <c r="AH21" s="4"/>
      <c r="AI21" s="4"/>
      <c r="AJ21" s="4"/>
      <c r="AK21" s="4"/>
      <c r="AL21" s="4"/>
      <c r="AM21" s="19">
        <f>SUM(AM19:AM20)</f>
        <v>0</v>
      </c>
      <c r="AN21" s="6"/>
      <c r="AO21" s="19">
        <f>SUM(AO19:AO20)</f>
        <v>0</v>
      </c>
      <c r="AP21" s="6"/>
      <c r="AQ21" s="19">
        <f>SUM(AQ19:AQ20)</f>
        <v>0</v>
      </c>
      <c r="AR21" s="6"/>
      <c r="AS21" s="19">
        <f>SUM(AS19:AS20)</f>
        <v>0</v>
      </c>
      <c r="AT21" s="6"/>
      <c r="AU21" s="28"/>
      <c r="AV21" s="2"/>
      <c r="AW21" s="4"/>
      <c r="AX21" s="22"/>
      <c r="AY21" s="22"/>
    </row>
    <row r="22" spans="1:51" x14ac:dyDescent="0.25">
      <c r="C22" s="2"/>
      <c r="D22" s="4"/>
      <c r="E22" s="2"/>
      <c r="F22" s="2"/>
      <c r="G22" s="2"/>
      <c r="H22" s="2"/>
      <c r="I22" s="2"/>
      <c r="J22" s="35" t="s">
        <v>30</v>
      </c>
      <c r="K22" s="36">
        <f>SUM(K4:K20)</f>
        <v>50755.679999999702</v>
      </c>
      <c r="L22" s="2"/>
      <c r="M22" s="4"/>
      <c r="N22" s="22"/>
      <c r="O22" s="22"/>
      <c r="P22" s="22"/>
      <c r="Q22" s="2"/>
      <c r="R22" s="35" t="s">
        <v>30</v>
      </c>
      <c r="S22" s="36">
        <f>SUM(S4:S20)</f>
        <v>43199689.799999855</v>
      </c>
      <c r="T22" s="2"/>
      <c r="U22" s="4"/>
      <c r="V22" s="22"/>
      <c r="W22" s="22"/>
      <c r="X22" s="6"/>
      <c r="Y22" s="6"/>
      <c r="Z22" s="6"/>
      <c r="AA22" s="25"/>
      <c r="AB22" s="4"/>
      <c r="AC22" s="2"/>
      <c r="AD22" s="2"/>
      <c r="AE22" s="2"/>
      <c r="AF22" s="4"/>
      <c r="AG22" s="2"/>
      <c r="AH22" s="2"/>
      <c r="AI22" s="2"/>
      <c r="AJ22" s="2"/>
      <c r="AK22" s="2"/>
      <c r="AL22" s="35" t="s">
        <v>30</v>
      </c>
      <c r="AM22" s="36">
        <f>SUM(AM4:AM20)</f>
        <v>50914</v>
      </c>
      <c r="AN22" s="2"/>
      <c r="AO22" s="4"/>
      <c r="AP22" s="22"/>
      <c r="AQ22" s="22"/>
      <c r="AR22" s="22"/>
      <c r="AS22" s="2"/>
      <c r="AT22" s="35" t="s">
        <v>30</v>
      </c>
      <c r="AU22" s="36">
        <f>SUM(AU4:AU20)</f>
        <v>43346919</v>
      </c>
      <c r="AV22" s="2"/>
      <c r="AW22" s="4"/>
      <c r="AX22" s="22"/>
      <c r="AY22" s="22"/>
    </row>
    <row r="23" spans="1:51" x14ac:dyDescent="0.25">
      <c r="C23" s="2"/>
      <c r="D23" s="4"/>
      <c r="E23" s="2"/>
      <c r="F23" s="2"/>
      <c r="G23" s="2"/>
      <c r="H23" s="2"/>
      <c r="I23" s="2"/>
      <c r="J23" s="2"/>
      <c r="K23" s="2"/>
      <c r="L23" s="2"/>
      <c r="M23" s="4"/>
      <c r="N23" s="22"/>
      <c r="O23" s="22"/>
      <c r="P23" s="22"/>
      <c r="W23" s="22"/>
      <c r="X23" s="26"/>
      <c r="Y23" s="26"/>
      <c r="Z23" s="26"/>
      <c r="AA23" s="25"/>
      <c r="AB23" s="7"/>
      <c r="AC23" s="29"/>
      <c r="AD23" s="2"/>
      <c r="AE23" s="2"/>
      <c r="AF23" s="4"/>
      <c r="AG23" s="2"/>
      <c r="AH23" s="2"/>
      <c r="AI23" s="2"/>
      <c r="AJ23" s="2"/>
      <c r="AK23" s="2"/>
      <c r="AL23" s="2"/>
      <c r="AM23" s="2"/>
      <c r="AN23" s="2"/>
      <c r="AO23" s="4"/>
      <c r="AP23" s="22"/>
      <c r="AQ23" s="22"/>
      <c r="AR23" s="22"/>
      <c r="AY23" s="22"/>
    </row>
    <row r="24" spans="1:51" x14ac:dyDescent="0.25">
      <c r="C24" s="2"/>
      <c r="D24" s="4"/>
      <c r="E24" s="7" t="s">
        <v>36</v>
      </c>
      <c r="F24" s="37" t="s">
        <v>37</v>
      </c>
      <c r="G24" s="7" t="s">
        <v>38</v>
      </c>
      <c r="H24" s="7" t="s">
        <v>3</v>
      </c>
      <c r="I24" s="7" t="s">
        <v>39</v>
      </c>
      <c r="J24" s="7" t="s">
        <v>40</v>
      </c>
      <c r="K24" s="7" t="s">
        <v>41</v>
      </c>
      <c r="L24" s="6"/>
      <c r="M24" s="4"/>
      <c r="N24" s="22"/>
      <c r="O24" s="22"/>
      <c r="P24" s="22"/>
      <c r="W24" s="22"/>
      <c r="X24" s="26"/>
      <c r="Y24" s="26"/>
      <c r="Z24" s="26"/>
      <c r="AA24" s="7"/>
      <c r="AB24" s="7"/>
      <c r="AC24" s="29"/>
      <c r="AD24" s="2"/>
      <c r="AE24" s="2"/>
      <c r="AF24" s="4"/>
      <c r="AG24" s="7" t="s">
        <v>36</v>
      </c>
      <c r="AH24" s="37" t="s">
        <v>37</v>
      </c>
      <c r="AI24" s="7" t="s">
        <v>38</v>
      </c>
      <c r="AJ24" s="7" t="s">
        <v>3</v>
      </c>
      <c r="AK24" s="7" t="s">
        <v>39</v>
      </c>
      <c r="AL24" s="7" t="s">
        <v>40</v>
      </c>
      <c r="AM24" s="7" t="s">
        <v>41</v>
      </c>
      <c r="AN24" s="6"/>
      <c r="AO24" s="4"/>
      <c r="AP24" s="22"/>
      <c r="AQ24" s="22"/>
      <c r="AR24" s="22"/>
      <c r="AY24" s="22"/>
    </row>
    <row r="25" spans="1:51" x14ac:dyDescent="0.25">
      <c r="C25" s="2"/>
      <c r="D25" s="4"/>
      <c r="E25" s="7" t="s">
        <v>20</v>
      </c>
      <c r="F25" s="38">
        <v>48550</v>
      </c>
      <c r="G25" s="38">
        <v>45950</v>
      </c>
      <c r="H25" s="39">
        <f t="shared" ref="H25:H30" si="12">F25+V8-G25</f>
        <v>2600</v>
      </c>
      <c r="I25" s="39">
        <f>E6-H25</f>
        <v>181.11000000010245</v>
      </c>
      <c r="J25" s="40">
        <f>E6*0.0775</f>
        <v>215.53602500000792</v>
      </c>
      <c r="K25" s="40">
        <f t="shared" ref="K25:K30" si="13">I25-J25</f>
        <v>-34.426024999905479</v>
      </c>
      <c r="L25" s="6"/>
      <c r="M25" s="38"/>
      <c r="N25" s="22"/>
      <c r="O25" s="22"/>
      <c r="P25" s="22"/>
      <c r="W25" s="22"/>
      <c r="X25" s="26"/>
      <c r="Y25" s="26"/>
      <c r="Z25" s="26"/>
      <c r="AA25" s="5"/>
      <c r="AB25" s="5"/>
      <c r="AC25" s="29"/>
      <c r="AD25" s="2"/>
      <c r="AE25" s="2"/>
      <c r="AF25" s="4"/>
      <c r="AG25" s="7" t="s">
        <v>20</v>
      </c>
      <c r="AH25" s="38">
        <v>48550</v>
      </c>
      <c r="AI25" s="38">
        <v>45950</v>
      </c>
      <c r="AJ25" s="39">
        <f t="shared" ref="AJ25:AJ30" si="14">AH25+AX8-AI25</f>
        <v>2600</v>
      </c>
      <c r="AK25" s="39">
        <f>AG6-AJ25</f>
        <v>181</v>
      </c>
      <c r="AL25" s="40">
        <f>AG6*0.0775</f>
        <v>215.5275</v>
      </c>
      <c r="AM25" s="40">
        <f t="shared" ref="AM25:AM30" si="15">AK25-AL25</f>
        <v>-34.527500000000003</v>
      </c>
      <c r="AN25" s="6"/>
      <c r="AO25" s="38"/>
      <c r="AP25" s="22"/>
      <c r="AQ25" s="22"/>
      <c r="AR25" s="22"/>
      <c r="AY25" s="22"/>
    </row>
    <row r="26" spans="1:51" x14ac:dyDescent="0.25">
      <c r="C26" s="2"/>
      <c r="D26" s="4"/>
      <c r="E26" s="7" t="s">
        <v>11</v>
      </c>
      <c r="F26" s="38">
        <v>23350</v>
      </c>
      <c r="G26" s="38">
        <v>21600</v>
      </c>
      <c r="H26" s="39">
        <f t="shared" si="12"/>
        <v>1750</v>
      </c>
      <c r="I26" s="39">
        <f>E9-H26</f>
        <v>38.719999999855645</v>
      </c>
      <c r="J26" s="40">
        <f>E9*0.0775</f>
        <v>138.6257999999888</v>
      </c>
      <c r="K26" s="40">
        <f t="shared" si="13"/>
        <v>-99.905800000133155</v>
      </c>
      <c r="L26" s="6"/>
      <c r="M26" s="38"/>
      <c r="N26" s="22"/>
      <c r="O26" s="22"/>
      <c r="P26" s="22"/>
      <c r="W26" s="22"/>
      <c r="X26" s="22"/>
      <c r="Y26" s="4"/>
      <c r="Z26" s="6"/>
      <c r="AA26" s="6"/>
      <c r="AB26" s="4"/>
      <c r="AC26" s="2"/>
      <c r="AD26" s="2"/>
      <c r="AE26" s="2"/>
      <c r="AF26" s="4"/>
      <c r="AG26" s="7" t="s">
        <v>11</v>
      </c>
      <c r="AH26" s="38">
        <v>23350</v>
      </c>
      <c r="AI26" s="38">
        <v>21600</v>
      </c>
      <c r="AJ26" s="39">
        <f t="shared" si="14"/>
        <v>1750</v>
      </c>
      <c r="AK26" s="39">
        <f>AG9-AJ26</f>
        <v>38</v>
      </c>
      <c r="AL26" s="40">
        <f>AG9*0.0775</f>
        <v>138.57</v>
      </c>
      <c r="AM26" s="40">
        <f t="shared" si="15"/>
        <v>-100.57</v>
      </c>
      <c r="AN26" s="6"/>
      <c r="AO26" s="38"/>
      <c r="AP26" s="22"/>
      <c r="AQ26" s="22"/>
      <c r="AR26" s="22"/>
      <c r="AY26" s="22"/>
    </row>
    <row r="27" spans="1:51" x14ac:dyDescent="0.25">
      <c r="C27" s="2"/>
      <c r="D27" s="2"/>
      <c r="E27" s="7" t="s">
        <v>16</v>
      </c>
      <c r="F27" s="38">
        <v>19200</v>
      </c>
      <c r="G27" s="38">
        <v>17600</v>
      </c>
      <c r="H27" s="39">
        <f t="shared" si="12"/>
        <v>1600</v>
      </c>
      <c r="I27" s="39">
        <f>E12-H27</f>
        <v>-109.82000000018161</v>
      </c>
      <c r="J27" s="40">
        <f>E12*0.0775</f>
        <v>115.48894999998592</v>
      </c>
      <c r="K27" s="40">
        <f t="shared" si="13"/>
        <v>-225.30895000016753</v>
      </c>
      <c r="L27" s="6"/>
      <c r="N27" s="22"/>
      <c r="O27" s="22"/>
      <c r="P27" s="22"/>
      <c r="U27" s="41" t="s">
        <v>30</v>
      </c>
      <c r="W27" s="42">
        <f>SUM(W17:W26)</f>
        <v>0</v>
      </c>
      <c r="X27" s="22"/>
      <c r="Y27" s="6"/>
      <c r="Z27" s="4"/>
      <c r="AA27" s="4"/>
      <c r="AB27" s="4"/>
      <c r="AC27" s="2"/>
      <c r="AD27" s="2"/>
      <c r="AE27" s="2"/>
      <c r="AF27" s="2"/>
      <c r="AG27" s="7" t="s">
        <v>16</v>
      </c>
      <c r="AH27" s="38">
        <v>19200</v>
      </c>
      <c r="AI27" s="38">
        <v>17600</v>
      </c>
      <c r="AJ27" s="39">
        <f t="shared" si="14"/>
        <v>1600</v>
      </c>
      <c r="AK27" s="39">
        <f>AG12-AJ27</f>
        <v>-110</v>
      </c>
      <c r="AL27" s="40">
        <f>AG12*0.0775</f>
        <v>115.47499999999999</v>
      </c>
      <c r="AM27" s="40">
        <f t="shared" si="15"/>
        <v>-225.47499999999999</v>
      </c>
      <c r="AN27" s="6"/>
      <c r="AP27" s="22"/>
      <c r="AQ27" s="22"/>
      <c r="AR27" s="22"/>
      <c r="AW27" s="41" t="s">
        <v>30</v>
      </c>
      <c r="AY27" s="42">
        <f>SUM(AY17:AY26)</f>
        <v>0</v>
      </c>
    </row>
    <row r="28" spans="1:51" x14ac:dyDescent="0.25">
      <c r="C28" s="2"/>
      <c r="D28" s="2"/>
      <c r="E28" s="7" t="s">
        <v>19</v>
      </c>
      <c r="F28" s="38">
        <v>17800</v>
      </c>
      <c r="G28" s="38">
        <v>15700</v>
      </c>
      <c r="H28" s="39">
        <f t="shared" si="12"/>
        <v>2100</v>
      </c>
      <c r="I28" s="39">
        <f>E15-H28</f>
        <v>-274.55000000004657</v>
      </c>
      <c r="J28" s="40">
        <f>E15*0.0775</f>
        <v>141.47237499999639</v>
      </c>
      <c r="K28" s="40">
        <f t="shared" si="13"/>
        <v>-416.02237500004298</v>
      </c>
      <c r="L28" s="6"/>
      <c r="M28" s="2"/>
      <c r="N28" s="6"/>
      <c r="O28" s="6"/>
      <c r="P28" s="2"/>
      <c r="W28" s="2"/>
      <c r="X28" s="2"/>
      <c r="Y28" s="6"/>
      <c r="Z28" s="2"/>
      <c r="AA28" s="6"/>
      <c r="AB28" s="4"/>
      <c r="AC28" s="2"/>
      <c r="AD28" s="2"/>
      <c r="AE28" s="2"/>
      <c r="AF28" s="2"/>
      <c r="AG28" s="7" t="s">
        <v>19</v>
      </c>
      <c r="AH28" s="38">
        <v>17800</v>
      </c>
      <c r="AI28" s="38">
        <v>15700</v>
      </c>
      <c r="AJ28" s="39">
        <f t="shared" si="14"/>
        <v>2100</v>
      </c>
      <c r="AK28" s="39">
        <f>AG15-AJ28</f>
        <v>-274</v>
      </c>
      <c r="AL28" s="40">
        <f>AG15*0.0775</f>
        <v>141.51499999999999</v>
      </c>
      <c r="AM28" s="40">
        <f t="shared" si="15"/>
        <v>-415.51499999999999</v>
      </c>
      <c r="AN28" s="6"/>
      <c r="AO28" s="2"/>
      <c r="AP28" s="6"/>
      <c r="AQ28" s="6"/>
      <c r="AR28" s="2"/>
      <c r="AY28" s="2"/>
    </row>
    <row r="29" spans="1:51" x14ac:dyDescent="0.25">
      <c r="C29" s="2"/>
      <c r="D29" s="2"/>
      <c r="E29" s="7" t="s">
        <v>25</v>
      </c>
      <c r="F29" s="38">
        <v>24900</v>
      </c>
      <c r="G29" s="38">
        <v>8600</v>
      </c>
      <c r="H29" s="39">
        <f>F29+V12-G29</f>
        <v>16300</v>
      </c>
      <c r="I29" s="39">
        <f>E18-H29</f>
        <v>1192.3800000001211</v>
      </c>
      <c r="J29" s="40">
        <f>E18*0.0775</f>
        <v>1355.6594500000094</v>
      </c>
      <c r="K29" s="40">
        <f t="shared" si="13"/>
        <v>-163.27944999988836</v>
      </c>
      <c r="L29" s="2"/>
      <c r="M29" s="2"/>
      <c r="N29" s="4"/>
      <c r="O29" s="4"/>
      <c r="P29" s="43"/>
      <c r="W29" s="43"/>
      <c r="X29" s="43"/>
      <c r="Y29" s="6"/>
      <c r="Z29" s="2"/>
      <c r="AA29" s="6"/>
      <c r="AB29" s="4"/>
      <c r="AC29" s="2"/>
      <c r="AD29" s="2"/>
      <c r="AE29" s="2"/>
      <c r="AF29" s="2"/>
      <c r="AG29" s="7" t="s">
        <v>25</v>
      </c>
      <c r="AH29" s="38">
        <v>24900</v>
      </c>
      <c r="AI29" s="38">
        <v>8600</v>
      </c>
      <c r="AJ29" s="39">
        <f t="shared" si="14"/>
        <v>16300</v>
      </c>
      <c r="AK29" s="39">
        <f>AG18-AJ29</f>
        <v>1272</v>
      </c>
      <c r="AL29" s="40">
        <f>AG18*0.0775</f>
        <v>1361.83</v>
      </c>
      <c r="AM29" s="40">
        <f t="shared" si="15"/>
        <v>-89.829999999999927</v>
      </c>
      <c r="AN29" s="2"/>
      <c r="AO29" s="2"/>
      <c r="AP29" s="4"/>
      <c r="AQ29" s="4"/>
      <c r="AR29" s="43"/>
      <c r="AY29" s="43"/>
    </row>
    <row r="30" spans="1:51" x14ac:dyDescent="0.25">
      <c r="C30" s="2"/>
      <c r="D30" s="2"/>
      <c r="E30" s="7" t="s">
        <v>27</v>
      </c>
      <c r="F30" s="38">
        <v>50</v>
      </c>
      <c r="G30" s="38">
        <v>50</v>
      </c>
      <c r="H30" s="39">
        <f t="shared" si="12"/>
        <v>0</v>
      </c>
      <c r="I30" s="39">
        <f>E21-H30</f>
        <v>0</v>
      </c>
      <c r="J30" s="40">
        <f>E21*0.0775</f>
        <v>0</v>
      </c>
      <c r="K30" s="40">
        <f t="shared" si="13"/>
        <v>0</v>
      </c>
      <c r="L30" s="2"/>
      <c r="M30" s="2"/>
      <c r="N30" s="2"/>
      <c r="O30" s="2"/>
      <c r="P30" s="2"/>
      <c r="W30" s="2"/>
      <c r="X30" s="44"/>
      <c r="Y30" s="6"/>
      <c r="Z30" s="2"/>
      <c r="AA30" s="4"/>
      <c r="AB30" s="2"/>
      <c r="AC30" s="2"/>
      <c r="AD30" s="2"/>
      <c r="AE30" s="2"/>
      <c r="AF30" s="2"/>
      <c r="AG30" s="7" t="s">
        <v>27</v>
      </c>
      <c r="AH30" s="38">
        <v>50</v>
      </c>
      <c r="AI30" s="38">
        <v>50</v>
      </c>
      <c r="AJ30" s="39">
        <f t="shared" si="14"/>
        <v>0</v>
      </c>
      <c r="AK30" s="39">
        <f>AG21-AJ30</f>
        <v>0</v>
      </c>
      <c r="AL30" s="40">
        <f>AG21*0.0775</f>
        <v>0</v>
      </c>
      <c r="AM30" s="40">
        <f t="shared" si="15"/>
        <v>0</v>
      </c>
      <c r="AN30" s="2"/>
      <c r="AO30" s="2"/>
      <c r="AP30" s="2"/>
      <c r="AQ30" s="2"/>
      <c r="AR30" s="2"/>
      <c r="AY30" s="2"/>
    </row>
    <row r="31" spans="1:5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W31" s="2"/>
      <c r="X31" s="2"/>
      <c r="Y31" s="4"/>
      <c r="Z31" s="2"/>
      <c r="AA31" s="6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Y31" s="2"/>
    </row>
    <row r="32" spans="1:51" x14ac:dyDescent="0.25">
      <c r="A32" s="45" t="s">
        <v>42</v>
      </c>
      <c r="B32" s="45" t="s">
        <v>73</v>
      </c>
      <c r="C32" s="46" t="s">
        <v>44</v>
      </c>
      <c r="D32" s="35" t="s">
        <v>45</v>
      </c>
      <c r="E32" s="47" t="s">
        <v>46</v>
      </c>
      <c r="F32" s="47" t="s">
        <v>47</v>
      </c>
      <c r="G32" s="47" t="s">
        <v>48</v>
      </c>
      <c r="H32" s="47" t="s">
        <v>49</v>
      </c>
      <c r="I32" s="47" t="s">
        <v>50</v>
      </c>
      <c r="J32" s="47" t="s">
        <v>51</v>
      </c>
      <c r="K32" s="47" t="s">
        <v>52</v>
      </c>
      <c r="L32" s="47" t="s">
        <v>53</v>
      </c>
      <c r="M32" s="47" t="s">
        <v>54</v>
      </c>
      <c r="N32" s="48" t="s">
        <v>55</v>
      </c>
      <c r="O32" s="48" t="s">
        <v>56</v>
      </c>
      <c r="P32" s="48" t="s">
        <v>57</v>
      </c>
      <c r="Q32" s="48" t="s">
        <v>58</v>
      </c>
      <c r="R32" s="48" t="s">
        <v>59</v>
      </c>
      <c r="S32" s="48" t="s">
        <v>60</v>
      </c>
      <c r="T32" s="5" t="s">
        <v>61</v>
      </c>
      <c r="U32" s="3" t="s">
        <v>62</v>
      </c>
      <c r="W32" s="2"/>
      <c r="X32" s="2"/>
      <c r="Y32" s="6"/>
      <c r="Z32" s="2"/>
      <c r="AA32" s="6"/>
      <c r="AB32" s="2"/>
      <c r="AC32" s="2"/>
      <c r="AD32" s="46" t="s">
        <v>44</v>
      </c>
      <c r="AE32" s="46" t="s">
        <v>44</v>
      </c>
      <c r="AF32" s="35" t="s">
        <v>45</v>
      </c>
      <c r="AG32" s="47" t="s">
        <v>46</v>
      </c>
      <c r="AH32" s="47" t="s">
        <v>47</v>
      </c>
      <c r="AI32" s="47" t="s">
        <v>48</v>
      </c>
      <c r="AJ32" s="47" t="s">
        <v>49</v>
      </c>
      <c r="AK32" s="47" t="s">
        <v>50</v>
      </c>
      <c r="AL32" s="47" t="s">
        <v>51</v>
      </c>
      <c r="AM32" s="47" t="s">
        <v>52</v>
      </c>
      <c r="AN32" s="47" t="s">
        <v>53</v>
      </c>
      <c r="AO32" s="47" t="s">
        <v>54</v>
      </c>
      <c r="AP32" s="48" t="s">
        <v>55</v>
      </c>
      <c r="AQ32" s="48" t="s">
        <v>56</v>
      </c>
      <c r="AR32" s="48" t="s">
        <v>57</v>
      </c>
      <c r="AS32" s="48" t="s">
        <v>58</v>
      </c>
      <c r="AT32" s="48" t="s">
        <v>59</v>
      </c>
      <c r="AU32" s="48" t="s">
        <v>60</v>
      </c>
      <c r="AV32" s="5" t="s">
        <v>61</v>
      </c>
      <c r="AW32" s="3" t="s">
        <v>62</v>
      </c>
      <c r="AY32" s="2"/>
    </row>
    <row r="33" spans="1:51" x14ac:dyDescent="0.25">
      <c r="A33" s="45">
        <v>0</v>
      </c>
      <c r="B33" s="45">
        <v>0</v>
      </c>
      <c r="C33" s="16">
        <v>0</v>
      </c>
      <c r="D33" s="16">
        <v>0</v>
      </c>
      <c r="E33" s="16">
        <v>4132170</v>
      </c>
      <c r="F33" s="16">
        <v>0</v>
      </c>
      <c r="G33" s="16">
        <v>0</v>
      </c>
      <c r="H33" s="49">
        <v>0</v>
      </c>
      <c r="I33" s="16">
        <v>0</v>
      </c>
      <c r="J33" s="16">
        <v>3757220</v>
      </c>
      <c r="K33" s="16">
        <v>0</v>
      </c>
      <c r="L33" s="16">
        <v>737100</v>
      </c>
      <c r="M33" s="16">
        <v>21448341.949999999</v>
      </c>
      <c r="N33" s="16">
        <v>687522</v>
      </c>
      <c r="O33" s="16">
        <v>0</v>
      </c>
      <c r="P33" s="16">
        <v>1146029</v>
      </c>
      <c r="Q33" s="16">
        <v>0</v>
      </c>
      <c r="R33" s="49">
        <v>191872</v>
      </c>
      <c r="S33" s="16">
        <v>0</v>
      </c>
      <c r="T33" s="16">
        <v>13066615.669999782</v>
      </c>
      <c r="U33" s="42">
        <f>SUM(S22-A33-B33-W27-C33-D33-E33-F33-G33-H33-I33-J33-K33-L33-M33-N33-O33-P33-Q33-R33-J35-K35-L35-M35-N35-O35-P35-Q35-S33+T33)</f>
        <v>19831778.519999638</v>
      </c>
      <c r="W33" s="2"/>
      <c r="X33" s="2"/>
      <c r="Y33" s="6"/>
      <c r="Z33" s="2"/>
      <c r="AA33" s="2"/>
      <c r="AB33" s="2"/>
      <c r="AC33" s="2"/>
      <c r="AD33" s="16">
        <v>0</v>
      </c>
      <c r="AE33" s="16">
        <v>0</v>
      </c>
      <c r="AF33" s="16">
        <v>0</v>
      </c>
      <c r="AG33" s="16">
        <v>0</v>
      </c>
      <c r="AH33" s="16">
        <v>501527</v>
      </c>
      <c r="AI33" s="49">
        <v>322356</v>
      </c>
      <c r="AJ33" s="16">
        <v>1393530</v>
      </c>
      <c r="AK33" s="16">
        <v>25392804.09</v>
      </c>
      <c r="AL33" s="16">
        <v>7101849</v>
      </c>
      <c r="AM33" s="16">
        <v>0</v>
      </c>
      <c r="AN33" s="16">
        <v>505150</v>
      </c>
      <c r="AO33" s="16">
        <v>0</v>
      </c>
      <c r="AP33" s="16">
        <v>563100</v>
      </c>
      <c r="AQ33" s="16">
        <v>0</v>
      </c>
      <c r="AR33" s="16">
        <v>0</v>
      </c>
      <c r="AS33" s="49">
        <v>0</v>
      </c>
      <c r="AT33" s="16">
        <v>1243030.3999999999</v>
      </c>
      <c r="AU33" s="16">
        <v>14327558.939999999</v>
      </c>
      <c r="AV33" s="16">
        <v>7132897.8700000001</v>
      </c>
      <c r="AW33" s="16">
        <v>0</v>
      </c>
      <c r="AX33" s="16">
        <v>0</v>
      </c>
      <c r="AY33" s="49">
        <v>0</v>
      </c>
    </row>
    <row r="34" spans="1:51" x14ac:dyDescent="0.25">
      <c r="D34" s="48"/>
      <c r="E34" s="48"/>
      <c r="F34" s="48"/>
      <c r="G34" s="48"/>
      <c r="H34" s="48"/>
      <c r="J34" s="48" t="s">
        <v>63</v>
      </c>
      <c r="K34" s="48" t="s">
        <v>64</v>
      </c>
      <c r="L34" s="48" t="s">
        <v>65</v>
      </c>
      <c r="M34" s="48" t="s">
        <v>66</v>
      </c>
      <c r="N34" s="48" t="s">
        <v>67</v>
      </c>
      <c r="O34" s="48" t="s">
        <v>68</v>
      </c>
      <c r="P34" s="48" t="s">
        <v>69</v>
      </c>
      <c r="Q34" s="48" t="s">
        <v>70</v>
      </c>
      <c r="W34" s="2"/>
      <c r="X34" s="2"/>
      <c r="Y34" s="4"/>
      <c r="Z34" s="2"/>
      <c r="AA34" s="2"/>
      <c r="AB34" s="2"/>
      <c r="AC34" s="2"/>
      <c r="AD34" s="50"/>
      <c r="AF34" s="48"/>
      <c r="AG34" s="48"/>
      <c r="AH34" s="48"/>
      <c r="AI34" s="48"/>
      <c r="AJ34" s="48"/>
      <c r="AL34" s="48" t="s">
        <v>63</v>
      </c>
      <c r="AM34" s="48" t="s">
        <v>64</v>
      </c>
      <c r="AN34" s="48" t="s">
        <v>65</v>
      </c>
      <c r="AO34" s="48" t="s">
        <v>66</v>
      </c>
      <c r="AP34" s="48" t="s">
        <v>67</v>
      </c>
      <c r="AQ34" s="48" t="s">
        <v>68</v>
      </c>
      <c r="AR34" s="48" t="s">
        <v>69</v>
      </c>
      <c r="AS34" s="48" t="s">
        <v>70</v>
      </c>
      <c r="AY34" s="2"/>
    </row>
    <row r="35" spans="1:51" x14ac:dyDescent="0.25">
      <c r="D35" s="16"/>
      <c r="E35" s="16"/>
      <c r="F35" s="16"/>
      <c r="G35" s="16"/>
      <c r="H35" s="49"/>
      <c r="J35" s="16">
        <v>0</v>
      </c>
      <c r="K35" s="16"/>
      <c r="L35" s="16">
        <v>0</v>
      </c>
      <c r="M35" s="16">
        <v>734170</v>
      </c>
      <c r="N35" s="16">
        <v>0</v>
      </c>
      <c r="O35" s="16">
        <v>946211</v>
      </c>
      <c r="P35" s="16">
        <v>255000</v>
      </c>
      <c r="Q35" s="16">
        <v>2398891</v>
      </c>
      <c r="W35" s="2"/>
      <c r="X35" s="2"/>
      <c r="Y35" s="2"/>
      <c r="Z35" s="2"/>
      <c r="AA35" s="2"/>
      <c r="AB35" s="2"/>
      <c r="AC35" s="2"/>
      <c r="AD35" s="50"/>
      <c r="AF35" s="16"/>
      <c r="AG35" s="16"/>
      <c r="AH35" s="16"/>
      <c r="AI35" s="16"/>
      <c r="AJ35" s="49"/>
      <c r="AL35" s="16">
        <v>503638.62</v>
      </c>
      <c r="AM35" s="16"/>
      <c r="AN35" s="16">
        <v>0</v>
      </c>
      <c r="AO35" s="16">
        <v>0</v>
      </c>
      <c r="AP35" s="16">
        <v>879400</v>
      </c>
      <c r="AQ35" s="16">
        <v>0</v>
      </c>
      <c r="AR35" s="16">
        <v>0</v>
      </c>
      <c r="AS35" s="16">
        <v>0</v>
      </c>
      <c r="AY35" s="2"/>
    </row>
  </sheetData>
  <mergeCells count="1">
    <mergeCell ref="Y3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SGR/OBX</dc:creator>
  <cp:lastModifiedBy>HP</cp:lastModifiedBy>
  <dcterms:created xsi:type="dcterms:W3CDTF">2026-09-02T08:49:37Z</dcterms:created>
  <dcterms:modified xsi:type="dcterms:W3CDTF">2026-09-24T11:39:03Z</dcterms:modified>
</cp:coreProperties>
</file>