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BEDDINGS\"/>
    </mc:Choice>
  </mc:AlternateContent>
  <bookViews>
    <workbookView xWindow="0" yWindow="0" windowWidth="20490" windowHeight="7455" firstSheet="14" activeTab="2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3" i="23" l="1"/>
  <c r="AK22" i="23"/>
  <c r="AK21" i="23"/>
  <c r="AK20" i="23"/>
  <c r="J23" i="23"/>
  <c r="J22" i="23"/>
  <c r="J21" i="23"/>
  <c r="J20" i="23"/>
  <c r="AX23" i="23" l="1"/>
  <c r="AI23" i="23"/>
  <c r="W23" i="23"/>
  <c r="H23" i="23"/>
  <c r="AI22" i="23"/>
  <c r="H22" i="23"/>
  <c r="AI21" i="23"/>
  <c r="H21" i="23"/>
  <c r="AI20" i="23"/>
  <c r="H20" i="23"/>
  <c r="AT15" i="23"/>
  <c r="AL15" i="23"/>
  <c r="AN15" i="23" s="1"/>
  <c r="S15" i="23"/>
  <c r="M15" i="23"/>
  <c r="O15" i="23" s="1"/>
  <c r="K15" i="23"/>
  <c r="AR14" i="23"/>
  <c r="AP14" i="23"/>
  <c r="AN14" i="23"/>
  <c r="AL14" i="23"/>
  <c r="AL16" i="23" s="1"/>
  <c r="Q14" i="23"/>
  <c r="O14" i="23"/>
  <c r="M14" i="23"/>
  <c r="M16" i="23" s="1"/>
  <c r="K14" i="23"/>
  <c r="AC13" i="23"/>
  <c r="Q13" i="23"/>
  <c r="AR12" i="23"/>
  <c r="AP12" i="23"/>
  <c r="AN12" i="23"/>
  <c r="AL12" i="23"/>
  <c r="Q12" i="23"/>
  <c r="O12" i="23"/>
  <c r="M12" i="23"/>
  <c r="K12" i="23"/>
  <c r="AR11" i="23"/>
  <c r="AR13" i="23" s="1"/>
  <c r="AP11" i="23"/>
  <c r="AP13" i="23" s="1"/>
  <c r="AN11" i="23"/>
  <c r="AN13" i="23" s="1"/>
  <c r="AL11" i="23"/>
  <c r="AL13" i="23" s="1"/>
  <c r="Q11" i="23"/>
  <c r="O11" i="23"/>
  <c r="O13" i="23" s="1"/>
  <c r="M11" i="23"/>
  <c r="M13" i="23" s="1"/>
  <c r="K11" i="23"/>
  <c r="K13" i="23" s="1"/>
  <c r="AP10" i="23"/>
  <c r="Q10" i="23"/>
  <c r="AR9" i="23"/>
  <c r="AP9" i="23"/>
  <c r="AN9" i="23"/>
  <c r="AL9" i="23"/>
  <c r="Q9" i="23"/>
  <c r="O9" i="23"/>
  <c r="M9" i="23"/>
  <c r="K9" i="23"/>
  <c r="AR8" i="23"/>
  <c r="AR10" i="23" s="1"/>
  <c r="AP8" i="23"/>
  <c r="AN8" i="23"/>
  <c r="AN10" i="23" s="1"/>
  <c r="AL8" i="23"/>
  <c r="Q8" i="23"/>
  <c r="O8" i="23"/>
  <c r="O10" i="23" s="1"/>
  <c r="M8" i="23"/>
  <c r="M10" i="23" s="1"/>
  <c r="K8" i="23"/>
  <c r="K10" i="23" s="1"/>
  <c r="Q7" i="23"/>
  <c r="AR6" i="23"/>
  <c r="AP6" i="23"/>
  <c r="AN6" i="23"/>
  <c r="AL6" i="23"/>
  <c r="Q6" i="23"/>
  <c r="O6" i="23"/>
  <c r="M6" i="23"/>
  <c r="K6" i="23"/>
  <c r="AR5" i="23"/>
  <c r="AP5" i="23"/>
  <c r="AN5" i="23"/>
  <c r="AL5" i="23"/>
  <c r="Q5" i="23"/>
  <c r="O5" i="23"/>
  <c r="M5" i="23"/>
  <c r="K5" i="23"/>
  <c r="AR4" i="23"/>
  <c r="AP4" i="23"/>
  <c r="AN4" i="23"/>
  <c r="AL4" i="23"/>
  <c r="Q4" i="23"/>
  <c r="O4" i="23"/>
  <c r="M4" i="23"/>
  <c r="K4" i="23"/>
  <c r="AR3" i="23"/>
  <c r="AR7" i="23" s="1"/>
  <c r="AP3" i="23"/>
  <c r="AP7" i="23" s="1"/>
  <c r="AN3" i="23"/>
  <c r="AN7" i="23" s="1"/>
  <c r="AL3" i="23"/>
  <c r="AL7" i="23" s="1"/>
  <c r="Q3" i="23"/>
  <c r="O3" i="23"/>
  <c r="O7" i="23" s="1"/>
  <c r="M3" i="23"/>
  <c r="M7" i="23" s="1"/>
  <c r="K3" i="23"/>
  <c r="AT9" i="23" l="1"/>
  <c r="AT8" i="23"/>
  <c r="S14" i="23"/>
  <c r="AT4" i="23"/>
  <c r="AT5" i="23"/>
  <c r="AT6" i="23"/>
  <c r="AL10" i="23"/>
  <c r="AT12" i="23"/>
  <c r="S4" i="23"/>
  <c r="S5" i="23"/>
  <c r="S6" i="23"/>
  <c r="E10" i="23"/>
  <c r="I22" i="23" s="1"/>
  <c r="S9" i="23"/>
  <c r="E13" i="23"/>
  <c r="S12" i="23"/>
  <c r="K16" i="23"/>
  <c r="K7" i="23"/>
  <c r="E7" i="23" s="1"/>
  <c r="S3" i="23"/>
  <c r="AF7" i="23"/>
  <c r="AF10" i="23"/>
  <c r="I20" i="23"/>
  <c r="AF13" i="23"/>
  <c r="O16" i="23"/>
  <c r="Q15" i="23"/>
  <c r="Q16" i="23" s="1"/>
  <c r="AN16" i="23"/>
  <c r="AP15" i="23"/>
  <c r="AR15" i="23" s="1"/>
  <c r="AR16" i="23" s="1"/>
  <c r="AT3" i="23"/>
  <c r="S8" i="23"/>
  <c r="S11" i="23"/>
  <c r="AT14" i="23"/>
  <c r="AT11" i="23"/>
  <c r="AX23" i="22"/>
  <c r="AI23" i="22"/>
  <c r="W23" i="22"/>
  <c r="H23" i="22"/>
  <c r="AI22" i="22"/>
  <c r="H22" i="22"/>
  <c r="AI21" i="22"/>
  <c r="H21" i="22"/>
  <c r="AI20" i="22"/>
  <c r="H20" i="22"/>
  <c r="AT15" i="22"/>
  <c r="AN15" i="22"/>
  <c r="AP15" i="22" s="1"/>
  <c r="AR15" i="22" s="1"/>
  <c r="AL15" i="22"/>
  <c r="S15" i="22"/>
  <c r="K15" i="22"/>
  <c r="M15" i="22" s="1"/>
  <c r="O15" i="22" s="1"/>
  <c r="Q15" i="22" s="1"/>
  <c r="AR14" i="22"/>
  <c r="AR16" i="22" s="1"/>
  <c r="AP14" i="22"/>
  <c r="AP16" i="22" s="1"/>
  <c r="AN14" i="22"/>
  <c r="AN16" i="22" s="1"/>
  <c r="AL14" i="22"/>
  <c r="AL16" i="22" s="1"/>
  <c r="Q14" i="22"/>
  <c r="O14" i="22"/>
  <c r="O16" i="22" s="1"/>
  <c r="M14" i="22"/>
  <c r="K14" i="22"/>
  <c r="AC13" i="22"/>
  <c r="AR12" i="22"/>
  <c r="AP12" i="22"/>
  <c r="AN12" i="22"/>
  <c r="AL12" i="22"/>
  <c r="AT12" i="22" s="1"/>
  <c r="Q12" i="22"/>
  <c r="O12" i="22"/>
  <c r="M12" i="22"/>
  <c r="K12" i="22"/>
  <c r="AR11" i="22"/>
  <c r="AR13" i="22" s="1"/>
  <c r="AP11" i="22"/>
  <c r="AP13" i="22" s="1"/>
  <c r="AN11" i="22"/>
  <c r="AN13" i="22" s="1"/>
  <c r="AL11" i="22"/>
  <c r="AL13" i="22" s="1"/>
  <c r="Q11" i="22"/>
  <c r="Q13" i="22" s="1"/>
  <c r="O11" i="22"/>
  <c r="O13" i="22" s="1"/>
  <c r="M11" i="22"/>
  <c r="M13" i="22" s="1"/>
  <c r="K11" i="22"/>
  <c r="K13" i="22" s="1"/>
  <c r="AR9" i="22"/>
  <c r="AP9" i="22"/>
  <c r="AN9" i="22"/>
  <c r="AL9" i="22"/>
  <c r="AT9" i="22" s="1"/>
  <c r="Q9" i="22"/>
  <c r="O9" i="22"/>
  <c r="M9" i="22"/>
  <c r="K9" i="22"/>
  <c r="AR8" i="22"/>
  <c r="AR10" i="22" s="1"/>
  <c r="AP8" i="22"/>
  <c r="AP10" i="22" s="1"/>
  <c r="AN8" i="22"/>
  <c r="AN10" i="22" s="1"/>
  <c r="AL8" i="22"/>
  <c r="AT8" i="22" s="1"/>
  <c r="Q8" i="22"/>
  <c r="Q10" i="22" s="1"/>
  <c r="O8" i="22"/>
  <c r="O10" i="22" s="1"/>
  <c r="M8" i="22"/>
  <c r="M10" i="22" s="1"/>
  <c r="K8" i="22"/>
  <c r="K10" i="22" s="1"/>
  <c r="AR6" i="22"/>
  <c r="AP6" i="22"/>
  <c r="AN6" i="22"/>
  <c r="AL6" i="22"/>
  <c r="AT6" i="22" s="1"/>
  <c r="Q6" i="22"/>
  <c r="O6" i="22"/>
  <c r="M6" i="22"/>
  <c r="K6" i="22"/>
  <c r="AR5" i="22"/>
  <c r="AP5" i="22"/>
  <c r="AN5" i="22"/>
  <c r="AL5" i="22"/>
  <c r="AT5" i="22" s="1"/>
  <c r="Q5" i="22"/>
  <c r="O5" i="22"/>
  <c r="M5" i="22"/>
  <c r="K5" i="22"/>
  <c r="AR4" i="22"/>
  <c r="AP4" i="22"/>
  <c r="AN4" i="22"/>
  <c r="AL4" i="22"/>
  <c r="AT4" i="22" s="1"/>
  <c r="Q4" i="22"/>
  <c r="O4" i="22"/>
  <c r="M4" i="22"/>
  <c r="K4" i="22"/>
  <c r="AR3" i="22"/>
  <c r="AR7" i="22" s="1"/>
  <c r="AP3" i="22"/>
  <c r="AP7" i="22" s="1"/>
  <c r="AN3" i="22"/>
  <c r="AN7" i="22" s="1"/>
  <c r="AL3" i="22"/>
  <c r="AL7" i="22" s="1"/>
  <c r="AF7" i="22" s="1"/>
  <c r="Q3" i="22"/>
  <c r="Q7" i="22" s="1"/>
  <c r="O3" i="22"/>
  <c r="O7" i="22" s="1"/>
  <c r="M3" i="22"/>
  <c r="M7" i="22" s="1"/>
  <c r="K3" i="22"/>
  <c r="K7" i="22" s="1"/>
  <c r="K20" i="23" l="1"/>
  <c r="E16" i="23"/>
  <c r="AT17" i="23"/>
  <c r="AJ22" i="23"/>
  <c r="S17" i="23"/>
  <c r="R26" i="23" s="1"/>
  <c r="AP16" i="23"/>
  <c r="AF16" i="23" s="1"/>
  <c r="AJ20" i="23"/>
  <c r="K22" i="23"/>
  <c r="AW3" i="23"/>
  <c r="AJ21" i="23"/>
  <c r="AL21" i="23" s="1"/>
  <c r="V3" i="23"/>
  <c r="I21" i="23"/>
  <c r="K21" i="23" s="1"/>
  <c r="AF16" i="22"/>
  <c r="AJ23" i="22" s="1"/>
  <c r="S14" i="22"/>
  <c r="E7" i="22"/>
  <c r="J21" i="22" s="1"/>
  <c r="S4" i="22"/>
  <c r="S5" i="22"/>
  <c r="S6" i="22"/>
  <c r="S9" i="22"/>
  <c r="S12" i="22"/>
  <c r="AK21" i="22"/>
  <c r="AJ21" i="22"/>
  <c r="E10" i="22"/>
  <c r="E13" i="22"/>
  <c r="AF13" i="22"/>
  <c r="M16" i="22"/>
  <c r="Q16" i="22"/>
  <c r="AW4" i="22"/>
  <c r="S3" i="22"/>
  <c r="AT3" i="22"/>
  <c r="S8" i="22"/>
  <c r="AL10" i="22"/>
  <c r="AF10" i="22" s="1"/>
  <c r="S11" i="22"/>
  <c r="AT14" i="22"/>
  <c r="K16" i="22"/>
  <c r="E16" i="22" s="1"/>
  <c r="AT11" i="22"/>
  <c r="AX23" i="21"/>
  <c r="AI23" i="21"/>
  <c r="W23" i="21"/>
  <c r="H23" i="21"/>
  <c r="AI22" i="21"/>
  <c r="H22" i="21"/>
  <c r="AI21" i="21"/>
  <c r="H21" i="21"/>
  <c r="AI20" i="21"/>
  <c r="H20" i="21"/>
  <c r="AT15" i="21"/>
  <c r="AN15" i="21"/>
  <c r="AP15" i="21" s="1"/>
  <c r="AR15" i="21" s="1"/>
  <c r="AL15" i="21"/>
  <c r="S15" i="21"/>
  <c r="K15" i="21"/>
  <c r="M15" i="21" s="1"/>
  <c r="O15" i="21" s="1"/>
  <c r="Q15" i="21" s="1"/>
  <c r="AR14" i="21"/>
  <c r="AR16" i="21" s="1"/>
  <c r="AP14" i="21"/>
  <c r="AN14" i="21"/>
  <c r="AN16" i="21" s="1"/>
  <c r="AL14" i="21"/>
  <c r="AL16" i="21" s="1"/>
  <c r="Q14" i="21"/>
  <c r="Q16" i="21" s="1"/>
  <c r="O14" i="21"/>
  <c r="O16" i="21" s="1"/>
  <c r="M14" i="21"/>
  <c r="M16" i="21" s="1"/>
  <c r="K14" i="21"/>
  <c r="AC13" i="21"/>
  <c r="AR12" i="21"/>
  <c r="AP12" i="21"/>
  <c r="AN12" i="21"/>
  <c r="AL12" i="21"/>
  <c r="AT12" i="21" s="1"/>
  <c r="Q12" i="21"/>
  <c r="O12" i="21"/>
  <c r="M12" i="21"/>
  <c r="K12" i="21"/>
  <c r="S12" i="21" s="1"/>
  <c r="AR11" i="21"/>
  <c r="AR13" i="21" s="1"/>
  <c r="AP11" i="21"/>
  <c r="AP13" i="21" s="1"/>
  <c r="AN11" i="21"/>
  <c r="AN13" i="21" s="1"/>
  <c r="AL11" i="21"/>
  <c r="AL13" i="21" s="1"/>
  <c r="AF13" i="21" s="1"/>
  <c r="Q11" i="21"/>
  <c r="Q13" i="21" s="1"/>
  <c r="O11" i="21"/>
  <c r="O13" i="21" s="1"/>
  <c r="M11" i="21"/>
  <c r="M13" i="21" s="1"/>
  <c r="K11" i="21"/>
  <c r="K13" i="21" s="1"/>
  <c r="AR9" i="21"/>
  <c r="AP9" i="21"/>
  <c r="AN9" i="21"/>
  <c r="AL9" i="21"/>
  <c r="AT9" i="21" s="1"/>
  <c r="Q9" i="21"/>
  <c r="O9" i="21"/>
  <c r="M9" i="21"/>
  <c r="K9" i="21"/>
  <c r="S9" i="21" s="1"/>
  <c r="AR8" i="21"/>
  <c r="AR10" i="21" s="1"/>
  <c r="AP8" i="21"/>
  <c r="AP10" i="21" s="1"/>
  <c r="AN8" i="21"/>
  <c r="AN10" i="21" s="1"/>
  <c r="AL8" i="21"/>
  <c r="AT8" i="21" s="1"/>
  <c r="Q8" i="21"/>
  <c r="Q10" i="21" s="1"/>
  <c r="O8" i="21"/>
  <c r="O10" i="21" s="1"/>
  <c r="M8" i="21"/>
  <c r="M10" i="21" s="1"/>
  <c r="K8" i="21"/>
  <c r="K10" i="21" s="1"/>
  <c r="E10" i="21" s="1"/>
  <c r="AR6" i="21"/>
  <c r="AP6" i="21"/>
  <c r="AN6" i="21"/>
  <c r="AL6" i="21"/>
  <c r="AT6" i="21" s="1"/>
  <c r="Q6" i="21"/>
  <c r="O6" i="21"/>
  <c r="M6" i="21"/>
  <c r="K6" i="21"/>
  <c r="S6" i="21" s="1"/>
  <c r="AR5" i="21"/>
  <c r="AP5" i="21"/>
  <c r="AN5" i="21"/>
  <c r="AL5" i="21"/>
  <c r="AT5" i="21" s="1"/>
  <c r="Q5" i="21"/>
  <c r="O5" i="21"/>
  <c r="M5" i="21"/>
  <c r="K5" i="21"/>
  <c r="S5" i="21" s="1"/>
  <c r="AR4" i="21"/>
  <c r="AP4" i="21"/>
  <c r="AN4" i="21"/>
  <c r="AL4" i="21"/>
  <c r="AT4" i="21" s="1"/>
  <c r="Q4" i="21"/>
  <c r="O4" i="21"/>
  <c r="M4" i="21"/>
  <c r="K4" i="21"/>
  <c r="S4" i="21" s="1"/>
  <c r="AR3" i="21"/>
  <c r="AR7" i="21" s="1"/>
  <c r="AP3" i="21"/>
  <c r="AP7" i="21" s="1"/>
  <c r="AN3" i="21"/>
  <c r="AN7" i="21" s="1"/>
  <c r="AL3" i="21"/>
  <c r="AL7" i="21" s="1"/>
  <c r="AF7" i="21" s="1"/>
  <c r="Q3" i="21"/>
  <c r="Q7" i="21" s="1"/>
  <c r="O3" i="21"/>
  <c r="O7" i="21" s="1"/>
  <c r="M3" i="21"/>
  <c r="M7" i="21" s="1"/>
  <c r="K3" i="21"/>
  <c r="K7" i="21" s="1"/>
  <c r="E7" i="21" s="1"/>
  <c r="V4" i="23" l="1"/>
  <c r="I23" i="23"/>
  <c r="K23" i="23" s="1"/>
  <c r="AJ23" i="23"/>
  <c r="AW4" i="23"/>
  <c r="AL20" i="23"/>
  <c r="AL22" i="23"/>
  <c r="AK23" i="22"/>
  <c r="AL21" i="22"/>
  <c r="I21" i="22"/>
  <c r="K21" i="22" s="1"/>
  <c r="V3" i="22"/>
  <c r="AK22" i="22"/>
  <c r="AJ22" i="22"/>
  <c r="AT17" i="22"/>
  <c r="AL23" i="22"/>
  <c r="AK20" i="22"/>
  <c r="AJ20" i="22"/>
  <c r="J22" i="22"/>
  <c r="I22" i="22"/>
  <c r="AW3" i="22"/>
  <c r="J23" i="22"/>
  <c r="V4" i="22"/>
  <c r="I23" i="22"/>
  <c r="K23" i="22" s="1"/>
  <c r="S17" i="22"/>
  <c r="R26" i="22" s="1"/>
  <c r="J20" i="22"/>
  <c r="I20" i="22"/>
  <c r="K20" i="22" s="1"/>
  <c r="E13" i="21"/>
  <c r="S14" i="21"/>
  <c r="AK21" i="21"/>
  <c r="AJ21" i="21"/>
  <c r="J20" i="21"/>
  <c r="I20" i="21"/>
  <c r="J21" i="21"/>
  <c r="V3" i="21"/>
  <c r="I21" i="21"/>
  <c r="K21" i="21" s="1"/>
  <c r="J22" i="21"/>
  <c r="I22" i="21"/>
  <c r="AK20" i="21"/>
  <c r="AJ20" i="21"/>
  <c r="AP16" i="21"/>
  <c r="AF16" i="21" s="1"/>
  <c r="S3" i="21"/>
  <c r="AT3" i="21"/>
  <c r="S8" i="21"/>
  <c r="AL10" i="21"/>
  <c r="AF10" i="21" s="1"/>
  <c r="S11" i="21"/>
  <c r="AT14" i="21"/>
  <c r="K16" i="21"/>
  <c r="E16" i="21" s="1"/>
  <c r="AT11" i="21"/>
  <c r="AX23" i="20"/>
  <c r="AI23" i="20"/>
  <c r="W23" i="20"/>
  <c r="H23" i="20"/>
  <c r="AI22" i="20"/>
  <c r="H22" i="20"/>
  <c r="AI21" i="20"/>
  <c r="H21" i="20"/>
  <c r="AI20" i="20"/>
  <c r="H20" i="20"/>
  <c r="AT15" i="20"/>
  <c r="AL15" i="20"/>
  <c r="AN15" i="20" s="1"/>
  <c r="S15" i="20"/>
  <c r="M15" i="20"/>
  <c r="O15" i="20" s="1"/>
  <c r="K15" i="20"/>
  <c r="AR14" i="20"/>
  <c r="AP14" i="20"/>
  <c r="AN14" i="20"/>
  <c r="AL14" i="20"/>
  <c r="AL16" i="20" s="1"/>
  <c r="Q14" i="20"/>
  <c r="O14" i="20"/>
  <c r="M14" i="20"/>
  <c r="M16" i="20" s="1"/>
  <c r="K14" i="20"/>
  <c r="AC13" i="20"/>
  <c r="Q13" i="20"/>
  <c r="AR12" i="20"/>
  <c r="AP12" i="20"/>
  <c r="AN12" i="20"/>
  <c r="AL12" i="20"/>
  <c r="Q12" i="20"/>
  <c r="O12" i="20"/>
  <c r="M12" i="20"/>
  <c r="K12" i="20"/>
  <c r="AR11" i="20"/>
  <c r="AR13" i="20" s="1"/>
  <c r="AP11" i="20"/>
  <c r="AP13" i="20" s="1"/>
  <c r="AN11" i="20"/>
  <c r="AN13" i="20" s="1"/>
  <c r="AL11" i="20"/>
  <c r="AL13" i="20" s="1"/>
  <c r="Q11" i="20"/>
  <c r="O11" i="20"/>
  <c r="O13" i="20" s="1"/>
  <c r="M11" i="20"/>
  <c r="M13" i="20" s="1"/>
  <c r="K11" i="20"/>
  <c r="K13" i="20" s="1"/>
  <c r="AP10" i="20"/>
  <c r="Q10" i="20"/>
  <c r="AR9" i="20"/>
  <c r="AP9" i="20"/>
  <c r="AN9" i="20"/>
  <c r="AL9" i="20"/>
  <c r="Q9" i="20"/>
  <c r="O9" i="20"/>
  <c r="M9" i="20"/>
  <c r="K9" i="20"/>
  <c r="AR8" i="20"/>
  <c r="AR10" i="20" s="1"/>
  <c r="AP8" i="20"/>
  <c r="AN8" i="20"/>
  <c r="AN10" i="20" s="1"/>
  <c r="AL8" i="20"/>
  <c r="Q8" i="20"/>
  <c r="O8" i="20"/>
  <c r="O10" i="20" s="1"/>
  <c r="M8" i="20"/>
  <c r="M10" i="20" s="1"/>
  <c r="K8" i="20"/>
  <c r="K10" i="20" s="1"/>
  <c r="Q7" i="20"/>
  <c r="AR6" i="20"/>
  <c r="AP6" i="20"/>
  <c r="AN6" i="20"/>
  <c r="AL6" i="20"/>
  <c r="Q6" i="20"/>
  <c r="O6" i="20"/>
  <c r="M6" i="20"/>
  <c r="K6" i="20"/>
  <c r="AR5" i="20"/>
  <c r="AP5" i="20"/>
  <c r="AN5" i="20"/>
  <c r="AL5" i="20"/>
  <c r="Q5" i="20"/>
  <c r="O5" i="20"/>
  <c r="M5" i="20"/>
  <c r="K5" i="20"/>
  <c r="AR4" i="20"/>
  <c r="AP4" i="20"/>
  <c r="AN4" i="20"/>
  <c r="AL4" i="20"/>
  <c r="Q4" i="20"/>
  <c r="O4" i="20"/>
  <c r="M4" i="20"/>
  <c r="K4" i="20"/>
  <c r="AR3" i="20"/>
  <c r="AR7" i="20" s="1"/>
  <c r="AP3" i="20"/>
  <c r="AP7" i="20" s="1"/>
  <c r="AN3" i="20"/>
  <c r="AN7" i="20" s="1"/>
  <c r="AL3" i="20"/>
  <c r="Q3" i="20"/>
  <c r="O3" i="20"/>
  <c r="O7" i="20" s="1"/>
  <c r="M3" i="20"/>
  <c r="M7" i="20" s="1"/>
  <c r="K3" i="20"/>
  <c r="K7" i="20" s="1"/>
  <c r="AL23" i="23" l="1"/>
  <c r="AL20" i="22"/>
  <c r="AL22" i="22"/>
  <c r="K22" i="22"/>
  <c r="AL20" i="21"/>
  <c r="K22" i="21"/>
  <c r="AL21" i="21"/>
  <c r="AJ23" i="21"/>
  <c r="AW4" i="21"/>
  <c r="AK23" i="21"/>
  <c r="AK22" i="21"/>
  <c r="AJ22" i="21"/>
  <c r="AT17" i="21"/>
  <c r="AW3" i="21"/>
  <c r="J23" i="21"/>
  <c r="V4" i="21"/>
  <c r="I23" i="21"/>
  <c r="K23" i="21" s="1"/>
  <c r="S17" i="21"/>
  <c r="R26" i="21" s="1"/>
  <c r="K20" i="21"/>
  <c r="AT9" i="20"/>
  <c r="AT8" i="20"/>
  <c r="AT3" i="20"/>
  <c r="AT4" i="20"/>
  <c r="AT5" i="20"/>
  <c r="AT6" i="20"/>
  <c r="AL10" i="20"/>
  <c r="AT12" i="20"/>
  <c r="S14" i="20"/>
  <c r="E7" i="20"/>
  <c r="J21" i="20" s="1"/>
  <c r="S4" i="20"/>
  <c r="S5" i="20"/>
  <c r="S6" i="20"/>
  <c r="E10" i="20"/>
  <c r="J22" i="20" s="1"/>
  <c r="S9" i="20"/>
  <c r="E13" i="20"/>
  <c r="J20" i="20" s="1"/>
  <c r="S12" i="20"/>
  <c r="K16" i="20"/>
  <c r="AF10" i="20"/>
  <c r="AF13" i="20"/>
  <c r="O16" i="20"/>
  <c r="Q15" i="20"/>
  <c r="Q16" i="20" s="1"/>
  <c r="E16" i="20" s="1"/>
  <c r="AN16" i="20"/>
  <c r="AP15" i="20"/>
  <c r="AR15" i="20" s="1"/>
  <c r="AR16" i="20" s="1"/>
  <c r="S3" i="20"/>
  <c r="AL7" i="20"/>
  <c r="AF7" i="20" s="1"/>
  <c r="S8" i="20"/>
  <c r="S11" i="20"/>
  <c r="AT14" i="20"/>
  <c r="AT11" i="20"/>
  <c r="AX23" i="19"/>
  <c r="AI23" i="19"/>
  <c r="W23" i="19"/>
  <c r="H23" i="19"/>
  <c r="AI22" i="19"/>
  <c r="H22" i="19"/>
  <c r="AI21" i="19"/>
  <c r="H21" i="19"/>
  <c r="AI20" i="19"/>
  <c r="H20" i="19"/>
  <c r="AT15" i="19"/>
  <c r="AL15" i="19"/>
  <c r="AN15" i="19" s="1"/>
  <c r="AP15" i="19" s="1"/>
  <c r="AR15" i="19" s="1"/>
  <c r="S15" i="19"/>
  <c r="M15" i="19"/>
  <c r="O15" i="19" s="1"/>
  <c r="Q15" i="19" s="1"/>
  <c r="K15" i="19"/>
  <c r="AR14" i="19"/>
  <c r="AR16" i="19" s="1"/>
  <c r="AP14" i="19"/>
  <c r="AN14" i="19"/>
  <c r="AN16" i="19" s="1"/>
  <c r="AL14" i="19"/>
  <c r="AL16" i="19" s="1"/>
  <c r="Q14" i="19"/>
  <c r="Q16" i="19" s="1"/>
  <c r="O14" i="19"/>
  <c r="M14" i="19"/>
  <c r="M16" i="19" s="1"/>
  <c r="K14" i="19"/>
  <c r="AC13" i="19"/>
  <c r="AR12" i="19"/>
  <c r="AP12" i="19"/>
  <c r="AN12" i="19"/>
  <c r="AL12" i="19"/>
  <c r="AT12" i="19" s="1"/>
  <c r="Q12" i="19"/>
  <c r="O12" i="19"/>
  <c r="M12" i="19"/>
  <c r="K12" i="19"/>
  <c r="S12" i="19" s="1"/>
  <c r="AR11" i="19"/>
  <c r="AR13" i="19" s="1"/>
  <c r="AP11" i="19"/>
  <c r="AP13" i="19" s="1"/>
  <c r="AN11" i="19"/>
  <c r="AN13" i="19" s="1"/>
  <c r="AL11" i="19"/>
  <c r="AL13" i="19" s="1"/>
  <c r="AF13" i="19" s="1"/>
  <c r="Q11" i="19"/>
  <c r="Q13" i="19" s="1"/>
  <c r="O11" i="19"/>
  <c r="O13" i="19" s="1"/>
  <c r="M11" i="19"/>
  <c r="M13" i="19" s="1"/>
  <c r="K11" i="19"/>
  <c r="K13" i="19" s="1"/>
  <c r="E13" i="19" s="1"/>
  <c r="AR9" i="19"/>
  <c r="AP9" i="19"/>
  <c r="AN9" i="19"/>
  <c r="AL9" i="19"/>
  <c r="AT9" i="19" s="1"/>
  <c r="Q9" i="19"/>
  <c r="O9" i="19"/>
  <c r="M9" i="19"/>
  <c r="K9" i="19"/>
  <c r="S9" i="19" s="1"/>
  <c r="AR8" i="19"/>
  <c r="AR10" i="19" s="1"/>
  <c r="AP8" i="19"/>
  <c r="AP10" i="19" s="1"/>
  <c r="AN8" i="19"/>
  <c r="AN10" i="19" s="1"/>
  <c r="AL8" i="19"/>
  <c r="AT8" i="19" s="1"/>
  <c r="Q8" i="19"/>
  <c r="Q10" i="19" s="1"/>
  <c r="O8" i="19"/>
  <c r="O10" i="19" s="1"/>
  <c r="M8" i="19"/>
  <c r="M10" i="19" s="1"/>
  <c r="K8" i="19"/>
  <c r="K10" i="19" s="1"/>
  <c r="E10" i="19" s="1"/>
  <c r="AR6" i="19"/>
  <c r="AP6" i="19"/>
  <c r="AN6" i="19"/>
  <c r="AL6" i="19"/>
  <c r="AT6" i="19" s="1"/>
  <c r="Q6" i="19"/>
  <c r="O6" i="19"/>
  <c r="M6" i="19"/>
  <c r="K6" i="19"/>
  <c r="S6" i="19" s="1"/>
  <c r="AR5" i="19"/>
  <c r="AP5" i="19"/>
  <c r="AN5" i="19"/>
  <c r="AL5" i="19"/>
  <c r="AT5" i="19" s="1"/>
  <c r="Q5" i="19"/>
  <c r="O5" i="19"/>
  <c r="M5" i="19"/>
  <c r="K5" i="19"/>
  <c r="S5" i="19" s="1"/>
  <c r="AR4" i="19"/>
  <c r="AP4" i="19"/>
  <c r="AN4" i="19"/>
  <c r="AL4" i="19"/>
  <c r="AT4" i="19" s="1"/>
  <c r="Q4" i="19"/>
  <c r="O4" i="19"/>
  <c r="M4" i="19"/>
  <c r="K4" i="19"/>
  <c r="S4" i="19" s="1"/>
  <c r="AR3" i="19"/>
  <c r="AR7" i="19" s="1"/>
  <c r="AP3" i="19"/>
  <c r="AP7" i="19" s="1"/>
  <c r="AN3" i="19"/>
  <c r="AN7" i="19" s="1"/>
  <c r="AL3" i="19"/>
  <c r="AL7" i="19" s="1"/>
  <c r="AF7" i="19" s="1"/>
  <c r="Q3" i="19"/>
  <c r="Q7" i="19" s="1"/>
  <c r="O3" i="19"/>
  <c r="O7" i="19" s="1"/>
  <c r="M3" i="19"/>
  <c r="M7" i="19" s="1"/>
  <c r="K3" i="19"/>
  <c r="K7" i="19" s="1"/>
  <c r="E7" i="19" s="1"/>
  <c r="AL22" i="21" l="1"/>
  <c r="AL23" i="21"/>
  <c r="AT17" i="20"/>
  <c r="I20" i="20"/>
  <c r="V3" i="20"/>
  <c r="I22" i="20"/>
  <c r="K22" i="20" s="1"/>
  <c r="I21" i="20"/>
  <c r="K21" i="20" s="1"/>
  <c r="J23" i="20"/>
  <c r="V4" i="20"/>
  <c r="I23" i="20"/>
  <c r="K23" i="20" s="1"/>
  <c r="S17" i="20"/>
  <c r="R26" i="20" s="1"/>
  <c r="AK20" i="20"/>
  <c r="AJ20" i="20"/>
  <c r="AP16" i="20"/>
  <c r="AF16" i="20" s="1"/>
  <c r="AK21" i="20"/>
  <c r="AW3" i="20"/>
  <c r="AJ21" i="20"/>
  <c r="AL21" i="20" s="1"/>
  <c r="K20" i="20"/>
  <c r="AK22" i="20"/>
  <c r="AJ22" i="20"/>
  <c r="S14" i="19"/>
  <c r="J21" i="19"/>
  <c r="V3" i="19"/>
  <c r="I21" i="19"/>
  <c r="K21" i="19" s="1"/>
  <c r="J22" i="19"/>
  <c r="I22" i="19"/>
  <c r="AK21" i="19"/>
  <c r="AJ21" i="19"/>
  <c r="J20" i="19"/>
  <c r="I20" i="19"/>
  <c r="AK20" i="19"/>
  <c r="AJ20" i="19"/>
  <c r="AL20" i="19" s="1"/>
  <c r="O16" i="19"/>
  <c r="AF16" i="19"/>
  <c r="AP16" i="19"/>
  <c r="S3" i="19"/>
  <c r="AT3" i="19"/>
  <c r="S8" i="19"/>
  <c r="AL10" i="19"/>
  <c r="AF10" i="19" s="1"/>
  <c r="S11" i="19"/>
  <c r="AT14" i="19"/>
  <c r="K16" i="19"/>
  <c r="E16" i="19" s="1"/>
  <c r="AT11" i="19"/>
  <c r="AX23" i="18"/>
  <c r="AI23" i="18"/>
  <c r="W23" i="18"/>
  <c r="H23" i="18"/>
  <c r="AI22" i="18"/>
  <c r="H22" i="18"/>
  <c r="AI21" i="18"/>
  <c r="H21" i="18"/>
  <c r="AI20" i="18"/>
  <c r="H20" i="18"/>
  <c r="AT15" i="18"/>
  <c r="AP15" i="18"/>
  <c r="AP16" i="18" s="1"/>
  <c r="AN15" i="18"/>
  <c r="AL15" i="18"/>
  <c r="S15" i="18"/>
  <c r="K15" i="18"/>
  <c r="M15" i="18" s="1"/>
  <c r="O15" i="18" s="1"/>
  <c r="Q15" i="18" s="1"/>
  <c r="Q16" i="18" s="1"/>
  <c r="AR14" i="18"/>
  <c r="AP14" i="18"/>
  <c r="AN14" i="18"/>
  <c r="AN16" i="18" s="1"/>
  <c r="AL14" i="18"/>
  <c r="AT14" i="18" s="1"/>
  <c r="Q14" i="18"/>
  <c r="O14" i="18"/>
  <c r="M14" i="18"/>
  <c r="K14" i="18"/>
  <c r="S14" i="18" s="1"/>
  <c r="AC13" i="18"/>
  <c r="Q13" i="18"/>
  <c r="AR12" i="18"/>
  <c r="AP12" i="18"/>
  <c r="AP13" i="18" s="1"/>
  <c r="AN12" i="18"/>
  <c r="AL12" i="18"/>
  <c r="AT12" i="18" s="1"/>
  <c r="Q12" i="18"/>
  <c r="O12" i="18"/>
  <c r="O13" i="18" s="1"/>
  <c r="M12" i="18"/>
  <c r="K12" i="18"/>
  <c r="S12" i="18" s="1"/>
  <c r="AR11" i="18"/>
  <c r="AR13" i="18" s="1"/>
  <c r="AP11" i="18"/>
  <c r="AN11" i="18"/>
  <c r="AL11" i="18"/>
  <c r="AL13" i="18" s="1"/>
  <c r="Q11" i="18"/>
  <c r="O11" i="18"/>
  <c r="M11" i="18"/>
  <c r="M13" i="18" s="1"/>
  <c r="K11" i="18"/>
  <c r="S11" i="18" s="1"/>
  <c r="M10" i="18"/>
  <c r="AR9" i="18"/>
  <c r="AR10" i="18" s="1"/>
  <c r="AP9" i="18"/>
  <c r="AN9" i="18"/>
  <c r="AL9" i="18"/>
  <c r="AT9" i="18" s="1"/>
  <c r="Q9" i="18"/>
  <c r="O9" i="18"/>
  <c r="M9" i="18"/>
  <c r="K9" i="18"/>
  <c r="AR8" i="18"/>
  <c r="AP8" i="18"/>
  <c r="AP10" i="18" s="1"/>
  <c r="AN8" i="18"/>
  <c r="AN10" i="18" s="1"/>
  <c r="AL8" i="18"/>
  <c r="AT8" i="18" s="1"/>
  <c r="Q8" i="18"/>
  <c r="Q10" i="18" s="1"/>
  <c r="O8" i="18"/>
  <c r="O10" i="18" s="1"/>
  <c r="M8" i="18"/>
  <c r="K8" i="18"/>
  <c r="S8" i="18" s="1"/>
  <c r="Q7" i="18"/>
  <c r="AR6" i="18"/>
  <c r="AP6" i="18"/>
  <c r="AN6" i="18"/>
  <c r="AL6" i="18"/>
  <c r="AT6" i="18" s="1"/>
  <c r="Q6" i="18"/>
  <c r="O6" i="18"/>
  <c r="M6" i="18"/>
  <c r="K6" i="18"/>
  <c r="S6" i="18" s="1"/>
  <c r="AR5" i="18"/>
  <c r="AP5" i="18"/>
  <c r="AN5" i="18"/>
  <c r="AL5" i="18"/>
  <c r="AT5" i="18" s="1"/>
  <c r="Q5" i="18"/>
  <c r="O5" i="18"/>
  <c r="M5" i="18"/>
  <c r="K5" i="18"/>
  <c r="S5" i="18" s="1"/>
  <c r="AR4" i="18"/>
  <c r="AP4" i="18"/>
  <c r="AN4" i="18"/>
  <c r="AL4" i="18"/>
  <c r="AT4" i="18" s="1"/>
  <c r="Q4" i="18"/>
  <c r="O4" i="18"/>
  <c r="M4" i="18"/>
  <c r="K4" i="18"/>
  <c r="AR3" i="18"/>
  <c r="AR7" i="18" s="1"/>
  <c r="AP3" i="18"/>
  <c r="AP7" i="18" s="1"/>
  <c r="AN3" i="18"/>
  <c r="AL3" i="18"/>
  <c r="AL7" i="18" s="1"/>
  <c r="Q3" i="18"/>
  <c r="O3" i="18"/>
  <c r="O7" i="18" s="1"/>
  <c r="M3" i="18"/>
  <c r="K3" i="18"/>
  <c r="AL22" i="20" l="1"/>
  <c r="AJ23" i="20"/>
  <c r="AW4" i="20"/>
  <c r="AK23" i="20"/>
  <c r="AL20" i="20"/>
  <c r="AL21" i="19"/>
  <c r="K20" i="19"/>
  <c r="J23" i="19"/>
  <c r="V4" i="19"/>
  <c r="I23" i="19"/>
  <c r="K23" i="19" s="1"/>
  <c r="S17" i="19"/>
  <c r="R26" i="19" s="1"/>
  <c r="AJ23" i="19"/>
  <c r="AW4" i="19"/>
  <c r="AK23" i="19"/>
  <c r="AK22" i="19"/>
  <c r="AJ22" i="19"/>
  <c r="AT17" i="19"/>
  <c r="AW3" i="19"/>
  <c r="K22" i="19"/>
  <c r="AN13" i="18"/>
  <c r="AN7" i="18"/>
  <c r="AF7" i="18"/>
  <c r="S4" i="18"/>
  <c r="K7" i="18"/>
  <c r="M7" i="18"/>
  <c r="AL10" i="18"/>
  <c r="AF10" i="18" s="1"/>
  <c r="K16" i="18"/>
  <c r="K10" i="18"/>
  <c r="E10" i="18" s="1"/>
  <c r="M16" i="18"/>
  <c r="AJ21" i="18"/>
  <c r="AK21" i="18"/>
  <c r="AF13" i="18"/>
  <c r="O16" i="18"/>
  <c r="S3" i="18"/>
  <c r="K13" i="18"/>
  <c r="E13" i="18" s="1"/>
  <c r="AR15" i="18"/>
  <c r="AR16" i="18" s="1"/>
  <c r="AL16" i="18"/>
  <c r="AF16" i="18" s="1"/>
  <c r="AT3" i="18"/>
  <c r="AT17" i="18" s="1"/>
  <c r="S9" i="18"/>
  <c r="AT11" i="18"/>
  <c r="AX23" i="17"/>
  <c r="AI23" i="17"/>
  <c r="W23" i="17"/>
  <c r="H23" i="17"/>
  <c r="AI22" i="17"/>
  <c r="H22" i="17"/>
  <c r="AI21" i="17"/>
  <c r="H21" i="17"/>
  <c r="AI20" i="17"/>
  <c r="H20" i="17"/>
  <c r="AT15" i="17"/>
  <c r="AL15" i="17"/>
  <c r="AN15" i="17" s="1"/>
  <c r="AP15" i="17" s="1"/>
  <c r="AR15" i="17" s="1"/>
  <c r="S15" i="17"/>
  <c r="K15" i="17"/>
  <c r="M15" i="17" s="1"/>
  <c r="O15" i="17" s="1"/>
  <c r="Q15" i="17" s="1"/>
  <c r="AR14" i="17"/>
  <c r="AP14" i="17"/>
  <c r="AP16" i="17" s="1"/>
  <c r="AN14" i="17"/>
  <c r="AL14" i="17"/>
  <c r="AL16" i="17" s="1"/>
  <c r="Q14" i="17"/>
  <c r="O14" i="17"/>
  <c r="O16" i="17" s="1"/>
  <c r="M14" i="17"/>
  <c r="K14" i="17"/>
  <c r="S14" i="17" s="1"/>
  <c r="AC13" i="17"/>
  <c r="AR12" i="17"/>
  <c r="AP12" i="17"/>
  <c r="AN12" i="17"/>
  <c r="AL12" i="17"/>
  <c r="Q12" i="17"/>
  <c r="O12" i="17"/>
  <c r="M12" i="17"/>
  <c r="K12" i="17"/>
  <c r="AR11" i="17"/>
  <c r="AR13" i="17" s="1"/>
  <c r="AP11" i="17"/>
  <c r="AP13" i="17" s="1"/>
  <c r="AN11" i="17"/>
  <c r="AN13" i="17" s="1"/>
  <c r="AL11" i="17"/>
  <c r="AL13" i="17" s="1"/>
  <c r="Q11" i="17"/>
  <c r="Q13" i="17" s="1"/>
  <c r="O11" i="17"/>
  <c r="O13" i="17" s="1"/>
  <c r="M11" i="17"/>
  <c r="M13" i="17" s="1"/>
  <c r="K11" i="17"/>
  <c r="K13" i="17" s="1"/>
  <c r="AR9" i="17"/>
  <c r="AP9" i="17"/>
  <c r="AN9" i="17"/>
  <c r="AL9" i="17"/>
  <c r="Q9" i="17"/>
  <c r="O9" i="17"/>
  <c r="M9" i="17"/>
  <c r="K9" i="17"/>
  <c r="AR8" i="17"/>
  <c r="AR10" i="17" s="1"/>
  <c r="AP8" i="17"/>
  <c r="AP10" i="17" s="1"/>
  <c r="AN8" i="17"/>
  <c r="AN10" i="17" s="1"/>
  <c r="AL8" i="17"/>
  <c r="Q8" i="17"/>
  <c r="Q10" i="17" s="1"/>
  <c r="O8" i="17"/>
  <c r="O10" i="17" s="1"/>
  <c r="M8" i="17"/>
  <c r="M10" i="17" s="1"/>
  <c r="K8" i="17"/>
  <c r="K10" i="17" s="1"/>
  <c r="AR6" i="17"/>
  <c r="AP6" i="17"/>
  <c r="AN6" i="17"/>
  <c r="AL6" i="17"/>
  <c r="Q6" i="17"/>
  <c r="O6" i="17"/>
  <c r="M6" i="17"/>
  <c r="K6" i="17"/>
  <c r="AR5" i="17"/>
  <c r="AP5" i="17"/>
  <c r="AN5" i="17"/>
  <c r="AL5" i="17"/>
  <c r="Q5" i="17"/>
  <c r="O5" i="17"/>
  <c r="M5" i="17"/>
  <c r="K5" i="17"/>
  <c r="AR4" i="17"/>
  <c r="AP4" i="17"/>
  <c r="AN4" i="17"/>
  <c r="AL4" i="17"/>
  <c r="Q4" i="17"/>
  <c r="O4" i="17"/>
  <c r="M4" i="17"/>
  <c r="K4" i="17"/>
  <c r="AR3" i="17"/>
  <c r="AR7" i="17" s="1"/>
  <c r="AP3" i="17"/>
  <c r="AP7" i="17" s="1"/>
  <c r="AN3" i="17"/>
  <c r="AN7" i="17" s="1"/>
  <c r="AL3" i="17"/>
  <c r="AL7" i="17" s="1"/>
  <c r="Q3" i="17"/>
  <c r="Q7" i="17" s="1"/>
  <c r="O3" i="17"/>
  <c r="O7" i="17" s="1"/>
  <c r="M3" i="17"/>
  <c r="M7" i="17" s="1"/>
  <c r="K3" i="17"/>
  <c r="K7" i="17" s="1"/>
  <c r="AL23" i="20" l="1"/>
  <c r="AL22" i="19"/>
  <c r="AL23" i="19"/>
  <c r="E16" i="18"/>
  <c r="E7" i="18"/>
  <c r="I23" i="18"/>
  <c r="J23" i="18"/>
  <c r="V4" i="18"/>
  <c r="AK22" i="18"/>
  <c r="AJ22" i="18"/>
  <c r="AW4" i="18"/>
  <c r="AK23" i="18"/>
  <c r="AJ23" i="18"/>
  <c r="AL23" i="18" s="1"/>
  <c r="AW3" i="18"/>
  <c r="I22" i="18"/>
  <c r="J22" i="18"/>
  <c r="I20" i="18"/>
  <c r="J20" i="18"/>
  <c r="AL21" i="18"/>
  <c r="AJ20" i="18"/>
  <c r="AK20" i="18"/>
  <c r="S17" i="18"/>
  <c r="R26" i="18" s="1"/>
  <c r="V3" i="18"/>
  <c r="AF7" i="17"/>
  <c r="AJ21" i="17" s="1"/>
  <c r="AT4" i="17"/>
  <c r="AT5" i="17"/>
  <c r="AT6" i="17"/>
  <c r="AT8" i="17"/>
  <c r="AT9" i="17"/>
  <c r="AT12" i="17"/>
  <c r="E7" i="17"/>
  <c r="S4" i="17"/>
  <c r="S5" i="17"/>
  <c r="S6" i="17"/>
  <c r="E10" i="17"/>
  <c r="J22" i="17" s="1"/>
  <c r="S9" i="17"/>
  <c r="E13" i="17"/>
  <c r="I20" i="17" s="1"/>
  <c r="S12" i="17"/>
  <c r="J21" i="17"/>
  <c r="AK21" i="17"/>
  <c r="AF13" i="17"/>
  <c r="M16" i="17"/>
  <c r="Q16" i="17"/>
  <c r="AN16" i="17"/>
  <c r="AF16" i="17" s="1"/>
  <c r="AR16" i="17"/>
  <c r="S3" i="17"/>
  <c r="AT3" i="17"/>
  <c r="S8" i="17"/>
  <c r="AL10" i="17"/>
  <c r="AF10" i="17" s="1"/>
  <c r="S11" i="17"/>
  <c r="AT14" i="17"/>
  <c r="K16" i="17"/>
  <c r="E16" i="17" s="1"/>
  <c r="AT11" i="17"/>
  <c r="AX23" i="16"/>
  <c r="AI23" i="16"/>
  <c r="W23" i="16"/>
  <c r="H23" i="16"/>
  <c r="AI22" i="16"/>
  <c r="H22" i="16"/>
  <c r="AI21" i="16"/>
  <c r="H21" i="16"/>
  <c r="AI20" i="16"/>
  <c r="H20" i="16"/>
  <c r="AT15" i="16"/>
  <c r="AL15" i="16"/>
  <c r="AN15" i="16" s="1"/>
  <c r="S15" i="16"/>
  <c r="M15" i="16"/>
  <c r="O15" i="16" s="1"/>
  <c r="K15" i="16"/>
  <c r="AR14" i="16"/>
  <c r="AP14" i="16"/>
  <c r="AN14" i="16"/>
  <c r="AL14" i="16"/>
  <c r="AL16" i="16" s="1"/>
  <c r="Q14" i="16"/>
  <c r="O14" i="16"/>
  <c r="M14" i="16"/>
  <c r="M16" i="16" s="1"/>
  <c r="K14" i="16"/>
  <c r="AC13" i="16"/>
  <c r="Q13" i="16"/>
  <c r="AR12" i="16"/>
  <c r="AP12" i="16"/>
  <c r="AN12" i="16"/>
  <c r="AL12" i="16"/>
  <c r="Q12" i="16"/>
  <c r="O12" i="16"/>
  <c r="M12" i="16"/>
  <c r="K12" i="16"/>
  <c r="AR11" i="16"/>
  <c r="AR13" i="16" s="1"/>
  <c r="AP11" i="16"/>
  <c r="AP13" i="16" s="1"/>
  <c r="AN11" i="16"/>
  <c r="AN13" i="16" s="1"/>
  <c r="AL11" i="16"/>
  <c r="AL13" i="16" s="1"/>
  <c r="Q11" i="16"/>
  <c r="O11" i="16"/>
  <c r="O13" i="16" s="1"/>
  <c r="M11" i="16"/>
  <c r="M13" i="16" s="1"/>
  <c r="K11" i="16"/>
  <c r="K13" i="16" s="1"/>
  <c r="AP10" i="16"/>
  <c r="Q10" i="16"/>
  <c r="M10" i="16"/>
  <c r="AR9" i="16"/>
  <c r="AP9" i="16"/>
  <c r="AN9" i="16"/>
  <c r="AL9" i="16"/>
  <c r="Q9" i="16"/>
  <c r="O9" i="16"/>
  <c r="M9" i="16"/>
  <c r="K9" i="16"/>
  <c r="S9" i="16" s="1"/>
  <c r="AR8" i="16"/>
  <c r="AR10" i="16" s="1"/>
  <c r="AP8" i="16"/>
  <c r="AN8" i="16"/>
  <c r="AN10" i="16" s="1"/>
  <c r="AL8" i="16"/>
  <c r="Q8" i="16"/>
  <c r="O8" i="16"/>
  <c r="O10" i="16" s="1"/>
  <c r="M8" i="16"/>
  <c r="K8" i="16"/>
  <c r="K10" i="16" s="1"/>
  <c r="E10" i="16" s="1"/>
  <c r="Q7" i="16"/>
  <c r="M7" i="16"/>
  <c r="AR6" i="16"/>
  <c r="AP6" i="16"/>
  <c r="AN6" i="16"/>
  <c r="AL6" i="16"/>
  <c r="Q6" i="16"/>
  <c r="O6" i="16"/>
  <c r="M6" i="16"/>
  <c r="K6" i="16"/>
  <c r="S6" i="16" s="1"/>
  <c r="AR5" i="16"/>
  <c r="AP5" i="16"/>
  <c r="AN5" i="16"/>
  <c r="AL5" i="16"/>
  <c r="Q5" i="16"/>
  <c r="O5" i="16"/>
  <c r="M5" i="16"/>
  <c r="K5" i="16"/>
  <c r="S5" i="16" s="1"/>
  <c r="AR4" i="16"/>
  <c r="AP4" i="16"/>
  <c r="AN4" i="16"/>
  <c r="AL4" i="16"/>
  <c r="Q4" i="16"/>
  <c r="O4" i="16"/>
  <c r="M4" i="16"/>
  <c r="K4" i="16"/>
  <c r="S4" i="16" s="1"/>
  <c r="AR3" i="16"/>
  <c r="AR7" i="16" s="1"/>
  <c r="AP3" i="16"/>
  <c r="AP7" i="16" s="1"/>
  <c r="AN3" i="16"/>
  <c r="AN7" i="16" s="1"/>
  <c r="AL3" i="16"/>
  <c r="AL7" i="16" s="1"/>
  <c r="Q3" i="16"/>
  <c r="O3" i="16"/>
  <c r="O7" i="16" s="1"/>
  <c r="M3" i="16"/>
  <c r="K3" i="16"/>
  <c r="AL20" i="18" l="1"/>
  <c r="K20" i="18"/>
  <c r="J21" i="18"/>
  <c r="I21" i="18"/>
  <c r="K21" i="18" s="1"/>
  <c r="K22" i="18"/>
  <c r="AL22" i="18"/>
  <c r="K23" i="18"/>
  <c r="AL21" i="17"/>
  <c r="J20" i="17"/>
  <c r="I22" i="17"/>
  <c r="K22" i="17" s="1"/>
  <c r="V3" i="17"/>
  <c r="I21" i="17"/>
  <c r="K21" i="17" s="1"/>
  <c r="AJ23" i="17"/>
  <c r="AW4" i="17"/>
  <c r="AK23" i="17"/>
  <c r="AK22" i="17"/>
  <c r="AJ22" i="17"/>
  <c r="AT17" i="17"/>
  <c r="AK20" i="17"/>
  <c r="AJ20" i="17"/>
  <c r="J23" i="17"/>
  <c r="V4" i="17"/>
  <c r="I23" i="17"/>
  <c r="K23" i="17" s="1"/>
  <c r="S17" i="17"/>
  <c r="R26" i="17" s="1"/>
  <c r="K20" i="17"/>
  <c r="AW3" i="17"/>
  <c r="S14" i="16"/>
  <c r="S12" i="16"/>
  <c r="AT4" i="16"/>
  <c r="AT5" i="16"/>
  <c r="AT6" i="16"/>
  <c r="AT8" i="16"/>
  <c r="AT9" i="16"/>
  <c r="AL10" i="16"/>
  <c r="AF10" i="16" s="1"/>
  <c r="AT12" i="16"/>
  <c r="E13" i="16"/>
  <c r="J20" i="16" s="1"/>
  <c r="K16" i="16"/>
  <c r="K7" i="16"/>
  <c r="E7" i="16" s="1"/>
  <c r="S3" i="16"/>
  <c r="AF7" i="16"/>
  <c r="J22" i="16"/>
  <c r="I22" i="16"/>
  <c r="AF13" i="16"/>
  <c r="O16" i="16"/>
  <c r="Q15" i="16"/>
  <c r="Q16" i="16" s="1"/>
  <c r="E16" i="16" s="1"/>
  <c r="AN16" i="16"/>
  <c r="AP15" i="16"/>
  <c r="AR15" i="16" s="1"/>
  <c r="AR16" i="16" s="1"/>
  <c r="AT3" i="16"/>
  <c r="S8" i="16"/>
  <c r="S11" i="16"/>
  <c r="AT14" i="16"/>
  <c r="AT11" i="16"/>
  <c r="AX23" i="15"/>
  <c r="AI23" i="15"/>
  <c r="W23" i="15"/>
  <c r="H23" i="15"/>
  <c r="AI22" i="15"/>
  <c r="H22" i="15"/>
  <c r="AI21" i="15"/>
  <c r="H21" i="15"/>
  <c r="AI20" i="15"/>
  <c r="H20" i="15"/>
  <c r="AT15" i="15"/>
  <c r="AL15" i="15"/>
  <c r="AN15" i="15" s="1"/>
  <c r="AP15" i="15" s="1"/>
  <c r="AR15" i="15" s="1"/>
  <c r="S15" i="15"/>
  <c r="K15" i="15"/>
  <c r="M15" i="15" s="1"/>
  <c r="O15" i="15" s="1"/>
  <c r="Q15" i="15" s="1"/>
  <c r="AR14" i="15"/>
  <c r="AP14" i="15"/>
  <c r="AP16" i="15" s="1"/>
  <c r="AN14" i="15"/>
  <c r="AL14" i="15"/>
  <c r="AL16" i="15" s="1"/>
  <c r="Q14" i="15"/>
  <c r="O14" i="15"/>
  <c r="O16" i="15" s="1"/>
  <c r="M14" i="15"/>
  <c r="K14" i="15"/>
  <c r="S14" i="15" s="1"/>
  <c r="AC13" i="15"/>
  <c r="AR12" i="15"/>
  <c r="AP12" i="15"/>
  <c r="AN12" i="15"/>
  <c r="AL12" i="15"/>
  <c r="Q12" i="15"/>
  <c r="O12" i="15"/>
  <c r="M12" i="15"/>
  <c r="K12" i="15"/>
  <c r="AR11" i="15"/>
  <c r="AR13" i="15" s="1"/>
  <c r="AP11" i="15"/>
  <c r="AP13" i="15" s="1"/>
  <c r="AN11" i="15"/>
  <c r="AN13" i="15" s="1"/>
  <c r="AL11" i="15"/>
  <c r="AL13" i="15" s="1"/>
  <c r="Q11" i="15"/>
  <c r="Q13" i="15" s="1"/>
  <c r="O11" i="15"/>
  <c r="O13" i="15" s="1"/>
  <c r="M11" i="15"/>
  <c r="M13" i="15" s="1"/>
  <c r="K11" i="15"/>
  <c r="K13" i="15" s="1"/>
  <c r="AR9" i="15"/>
  <c r="AP9" i="15"/>
  <c r="AN9" i="15"/>
  <c r="AL9" i="15"/>
  <c r="Q9" i="15"/>
  <c r="O9" i="15"/>
  <c r="M9" i="15"/>
  <c r="K9" i="15"/>
  <c r="AR8" i="15"/>
  <c r="AR10" i="15" s="1"/>
  <c r="AP8" i="15"/>
  <c r="AP10" i="15" s="1"/>
  <c r="AN8" i="15"/>
  <c r="AN10" i="15" s="1"/>
  <c r="AL8" i="15"/>
  <c r="Q8" i="15"/>
  <c r="Q10" i="15" s="1"/>
  <c r="O8" i="15"/>
  <c r="O10" i="15" s="1"/>
  <c r="M8" i="15"/>
  <c r="M10" i="15" s="1"/>
  <c r="K8" i="15"/>
  <c r="K10" i="15" s="1"/>
  <c r="AR6" i="15"/>
  <c r="AP6" i="15"/>
  <c r="AN6" i="15"/>
  <c r="AL6" i="15"/>
  <c r="Q6" i="15"/>
  <c r="O6" i="15"/>
  <c r="M6" i="15"/>
  <c r="K6" i="15"/>
  <c r="AR5" i="15"/>
  <c r="AP5" i="15"/>
  <c r="AN5" i="15"/>
  <c r="AL5" i="15"/>
  <c r="Q5" i="15"/>
  <c r="O5" i="15"/>
  <c r="M5" i="15"/>
  <c r="K5" i="15"/>
  <c r="AR4" i="15"/>
  <c r="AP4" i="15"/>
  <c r="AN4" i="15"/>
  <c r="AL4" i="15"/>
  <c r="Q4" i="15"/>
  <c r="O4" i="15"/>
  <c r="M4" i="15"/>
  <c r="K4" i="15"/>
  <c r="AR3" i="15"/>
  <c r="AR7" i="15" s="1"/>
  <c r="AP3" i="15"/>
  <c r="AP7" i="15" s="1"/>
  <c r="AN3" i="15"/>
  <c r="AN7" i="15" s="1"/>
  <c r="AL3" i="15"/>
  <c r="AL7" i="15" s="1"/>
  <c r="Q3" i="15"/>
  <c r="Q7" i="15" s="1"/>
  <c r="O3" i="15"/>
  <c r="O7" i="15" s="1"/>
  <c r="M3" i="15"/>
  <c r="M7" i="15" s="1"/>
  <c r="K3" i="15"/>
  <c r="K7" i="15" s="1"/>
  <c r="AL20" i="17" l="1"/>
  <c r="AL22" i="17"/>
  <c r="AL23" i="17"/>
  <c r="I20" i="16"/>
  <c r="K20" i="16" s="1"/>
  <c r="J23" i="16"/>
  <c r="V4" i="16"/>
  <c r="I23" i="16"/>
  <c r="K23" i="16" s="1"/>
  <c r="AT17" i="16"/>
  <c r="AK22" i="16"/>
  <c r="AJ22" i="16"/>
  <c r="S17" i="16"/>
  <c r="R26" i="16" s="1"/>
  <c r="AP16" i="16"/>
  <c r="AF16" i="16" s="1"/>
  <c r="AK20" i="16"/>
  <c r="AJ20" i="16"/>
  <c r="K22" i="16"/>
  <c r="AK21" i="16"/>
  <c r="AW3" i="16"/>
  <c r="AJ21" i="16"/>
  <c r="AL21" i="16" s="1"/>
  <c r="J21" i="16"/>
  <c r="V3" i="16"/>
  <c r="I21" i="16"/>
  <c r="K21" i="16" s="1"/>
  <c r="AT4" i="15"/>
  <c r="AT5" i="15"/>
  <c r="AT6" i="15"/>
  <c r="AT8" i="15"/>
  <c r="AT9" i="15"/>
  <c r="AT12" i="15"/>
  <c r="S4" i="15"/>
  <c r="S5" i="15"/>
  <c r="S6" i="15"/>
  <c r="S9" i="15"/>
  <c r="S12" i="15"/>
  <c r="E7" i="15"/>
  <c r="AF7" i="15"/>
  <c r="E10" i="15"/>
  <c r="E13" i="15"/>
  <c r="AF13" i="15"/>
  <c r="M16" i="15"/>
  <c r="Q16" i="15"/>
  <c r="AN16" i="15"/>
  <c r="AF16" i="15" s="1"/>
  <c r="AR16" i="15"/>
  <c r="S3" i="15"/>
  <c r="AT3" i="15"/>
  <c r="S8" i="15"/>
  <c r="AL10" i="15"/>
  <c r="AF10" i="15" s="1"/>
  <c r="S11" i="15"/>
  <c r="AT14" i="15"/>
  <c r="K16" i="15"/>
  <c r="E16" i="15" s="1"/>
  <c r="AT11" i="15"/>
  <c r="AX23" i="14"/>
  <c r="AI23" i="14"/>
  <c r="W23" i="14"/>
  <c r="H23" i="14"/>
  <c r="AI22" i="14"/>
  <c r="H22" i="14"/>
  <c r="AI21" i="14"/>
  <c r="H21" i="14"/>
  <c r="AI20" i="14"/>
  <c r="H20" i="14"/>
  <c r="AT15" i="14"/>
  <c r="AL15" i="14"/>
  <c r="AN15" i="14" s="1"/>
  <c r="S15" i="14"/>
  <c r="M15" i="14"/>
  <c r="O15" i="14" s="1"/>
  <c r="K15" i="14"/>
  <c r="AR14" i="14"/>
  <c r="AP14" i="14"/>
  <c r="AN14" i="14"/>
  <c r="AL14" i="14"/>
  <c r="AL16" i="14" s="1"/>
  <c r="Q14" i="14"/>
  <c r="O14" i="14"/>
  <c r="M14" i="14"/>
  <c r="M16" i="14" s="1"/>
  <c r="K14" i="14"/>
  <c r="AC13" i="14"/>
  <c r="Q13" i="14"/>
  <c r="AR12" i="14"/>
  <c r="AP12" i="14"/>
  <c r="AN12" i="14"/>
  <c r="AL12" i="14"/>
  <c r="Q12" i="14"/>
  <c r="O12" i="14"/>
  <c r="M12" i="14"/>
  <c r="K12" i="14"/>
  <c r="AR11" i="14"/>
  <c r="AR13" i="14" s="1"/>
  <c r="AP11" i="14"/>
  <c r="AP13" i="14" s="1"/>
  <c r="AN11" i="14"/>
  <c r="AN13" i="14" s="1"/>
  <c r="AL11" i="14"/>
  <c r="AL13" i="14" s="1"/>
  <c r="Q11" i="14"/>
  <c r="O11" i="14"/>
  <c r="O13" i="14" s="1"/>
  <c r="M11" i="14"/>
  <c r="M13" i="14" s="1"/>
  <c r="K11" i="14"/>
  <c r="K13" i="14" s="1"/>
  <c r="AP10" i="14"/>
  <c r="Q10" i="14"/>
  <c r="M10" i="14"/>
  <c r="AR9" i="14"/>
  <c r="AP9" i="14"/>
  <c r="AN9" i="14"/>
  <c r="AL9" i="14"/>
  <c r="Q9" i="14"/>
  <c r="O9" i="14"/>
  <c r="M9" i="14"/>
  <c r="K9" i="14"/>
  <c r="S9" i="14" s="1"/>
  <c r="AR8" i="14"/>
  <c r="AR10" i="14" s="1"/>
  <c r="AP8" i="14"/>
  <c r="AN8" i="14"/>
  <c r="AN10" i="14" s="1"/>
  <c r="AL8" i="14"/>
  <c r="Q8" i="14"/>
  <c r="O8" i="14"/>
  <c r="O10" i="14" s="1"/>
  <c r="M8" i="14"/>
  <c r="K8" i="14"/>
  <c r="K10" i="14" s="1"/>
  <c r="E10" i="14" s="1"/>
  <c r="Q7" i="14"/>
  <c r="M7" i="14"/>
  <c r="AR6" i="14"/>
  <c r="AP6" i="14"/>
  <c r="AN6" i="14"/>
  <c r="AL6" i="14"/>
  <c r="Q6" i="14"/>
  <c r="O6" i="14"/>
  <c r="M6" i="14"/>
  <c r="K6" i="14"/>
  <c r="S6" i="14" s="1"/>
  <c r="AR5" i="14"/>
  <c r="AP5" i="14"/>
  <c r="AN5" i="14"/>
  <c r="AL5" i="14"/>
  <c r="Q5" i="14"/>
  <c r="O5" i="14"/>
  <c r="M5" i="14"/>
  <c r="K5" i="14"/>
  <c r="S5" i="14" s="1"/>
  <c r="AR4" i="14"/>
  <c r="AP4" i="14"/>
  <c r="AN4" i="14"/>
  <c r="AL4" i="14"/>
  <c r="Q4" i="14"/>
  <c r="O4" i="14"/>
  <c r="M4" i="14"/>
  <c r="K4" i="14"/>
  <c r="S4" i="14" s="1"/>
  <c r="AR3" i="14"/>
  <c r="AR7" i="14" s="1"/>
  <c r="AP3" i="14"/>
  <c r="AP7" i="14" s="1"/>
  <c r="AN3" i="14"/>
  <c r="AN7" i="14" s="1"/>
  <c r="AL3" i="14"/>
  <c r="AL7" i="14" s="1"/>
  <c r="Q3" i="14"/>
  <c r="O3" i="14"/>
  <c r="O7" i="14" s="1"/>
  <c r="M3" i="14"/>
  <c r="K3" i="14"/>
  <c r="AJ23" i="16" l="1"/>
  <c r="AW4" i="16"/>
  <c r="AK23" i="16"/>
  <c r="AL20" i="16"/>
  <c r="AL22" i="16"/>
  <c r="AJ23" i="15"/>
  <c r="AW4" i="15"/>
  <c r="AK23" i="15"/>
  <c r="AK22" i="15"/>
  <c r="AJ22" i="15"/>
  <c r="AT17" i="15"/>
  <c r="AK20" i="15"/>
  <c r="AJ20" i="15"/>
  <c r="AL20" i="15" s="1"/>
  <c r="J22" i="15"/>
  <c r="I22" i="15"/>
  <c r="K22" i="15" s="1"/>
  <c r="J21" i="15"/>
  <c r="V3" i="15"/>
  <c r="I21" i="15"/>
  <c r="K21" i="15" s="1"/>
  <c r="J23" i="15"/>
  <c r="V4" i="15"/>
  <c r="I23" i="15"/>
  <c r="K23" i="15" s="1"/>
  <c r="S17" i="15"/>
  <c r="R26" i="15" s="1"/>
  <c r="J20" i="15"/>
  <c r="I20" i="15"/>
  <c r="AK21" i="15"/>
  <c r="AW3" i="15"/>
  <c r="AJ21" i="15"/>
  <c r="AL21" i="15" s="1"/>
  <c r="S14" i="14"/>
  <c r="S12" i="14"/>
  <c r="AT4" i="14"/>
  <c r="AT5" i="14"/>
  <c r="AT6" i="14"/>
  <c r="AT8" i="14"/>
  <c r="AT9" i="14"/>
  <c r="AL10" i="14"/>
  <c r="AF10" i="14" s="1"/>
  <c r="AT12" i="14"/>
  <c r="E13" i="14"/>
  <c r="J20" i="14" s="1"/>
  <c r="K16" i="14"/>
  <c r="K7" i="14"/>
  <c r="E7" i="14" s="1"/>
  <c r="S3" i="14"/>
  <c r="AF7" i="14"/>
  <c r="J22" i="14"/>
  <c r="I22" i="14"/>
  <c r="AF13" i="14"/>
  <c r="O16" i="14"/>
  <c r="Q15" i="14"/>
  <c r="Q16" i="14" s="1"/>
  <c r="AN16" i="14"/>
  <c r="AP15" i="14"/>
  <c r="AR15" i="14" s="1"/>
  <c r="AR16" i="14" s="1"/>
  <c r="AT3" i="14"/>
  <c r="S8" i="14"/>
  <c r="S11" i="14"/>
  <c r="AT14" i="14"/>
  <c r="AT11" i="14"/>
  <c r="AX23" i="13"/>
  <c r="AI23" i="13"/>
  <c r="W23" i="13"/>
  <c r="H23" i="13"/>
  <c r="AI22" i="13"/>
  <c r="H22" i="13"/>
  <c r="AI21" i="13"/>
  <c r="H21" i="13"/>
  <c r="AI20" i="13"/>
  <c r="H20" i="13"/>
  <c r="AT15" i="13"/>
  <c r="AL15" i="13"/>
  <c r="AN15" i="13" s="1"/>
  <c r="S15" i="13"/>
  <c r="M15" i="13"/>
  <c r="O15" i="13" s="1"/>
  <c r="K15" i="13"/>
  <c r="AR14" i="13"/>
  <c r="AP14" i="13"/>
  <c r="AN14" i="13"/>
  <c r="AL14" i="13"/>
  <c r="AL16" i="13" s="1"/>
  <c r="Q14" i="13"/>
  <c r="O14" i="13"/>
  <c r="M14" i="13"/>
  <c r="M16" i="13" s="1"/>
  <c r="K14" i="13"/>
  <c r="AC13" i="13"/>
  <c r="Q13" i="13"/>
  <c r="AR12" i="13"/>
  <c r="AP12" i="13"/>
  <c r="AN12" i="13"/>
  <c r="AL12" i="13"/>
  <c r="Q12" i="13"/>
  <c r="O12" i="13"/>
  <c r="M12" i="13"/>
  <c r="K12" i="13"/>
  <c r="AR11" i="13"/>
  <c r="AR13" i="13" s="1"/>
  <c r="AP11" i="13"/>
  <c r="AP13" i="13" s="1"/>
  <c r="AN11" i="13"/>
  <c r="AN13" i="13" s="1"/>
  <c r="AL11" i="13"/>
  <c r="AL13" i="13" s="1"/>
  <c r="Q11" i="13"/>
  <c r="O11" i="13"/>
  <c r="O13" i="13" s="1"/>
  <c r="M11" i="13"/>
  <c r="K11" i="13"/>
  <c r="K13" i="13" s="1"/>
  <c r="AP10" i="13"/>
  <c r="Q10" i="13"/>
  <c r="AR9" i="13"/>
  <c r="AP9" i="13"/>
  <c r="AN9" i="13"/>
  <c r="AL9" i="13"/>
  <c r="Q9" i="13"/>
  <c r="O9" i="13"/>
  <c r="M9" i="13"/>
  <c r="K9" i="13"/>
  <c r="AR8" i="13"/>
  <c r="AR10" i="13" s="1"/>
  <c r="AP8" i="13"/>
  <c r="AN8" i="13"/>
  <c r="AN10" i="13" s="1"/>
  <c r="AL8" i="13"/>
  <c r="Q8" i="13"/>
  <c r="O8" i="13"/>
  <c r="O10" i="13" s="1"/>
  <c r="M8" i="13"/>
  <c r="M10" i="13" s="1"/>
  <c r="K8" i="13"/>
  <c r="K10" i="13" s="1"/>
  <c r="Q7" i="13"/>
  <c r="AR6" i="13"/>
  <c r="AP6" i="13"/>
  <c r="AN6" i="13"/>
  <c r="AL6" i="13"/>
  <c r="AT6" i="13" s="1"/>
  <c r="Q6" i="13"/>
  <c r="O6" i="13"/>
  <c r="M6" i="13"/>
  <c r="K6" i="13"/>
  <c r="S6" i="13" s="1"/>
  <c r="AR5" i="13"/>
  <c r="AP5" i="13"/>
  <c r="AN5" i="13"/>
  <c r="AL5" i="13"/>
  <c r="AT5" i="13" s="1"/>
  <c r="Q5" i="13"/>
  <c r="O5" i="13"/>
  <c r="M5" i="13"/>
  <c r="K5" i="13"/>
  <c r="S5" i="13" s="1"/>
  <c r="AR4" i="13"/>
  <c r="AP4" i="13"/>
  <c r="AN4" i="13"/>
  <c r="AL4" i="13"/>
  <c r="AT4" i="13" s="1"/>
  <c r="Q4" i="13"/>
  <c r="O4" i="13"/>
  <c r="M4" i="13"/>
  <c r="K4" i="13"/>
  <c r="S4" i="13" s="1"/>
  <c r="AR3" i="13"/>
  <c r="AR7" i="13" s="1"/>
  <c r="AP3" i="13"/>
  <c r="AP7" i="13" s="1"/>
  <c r="AN3" i="13"/>
  <c r="AN7" i="13" s="1"/>
  <c r="AL3" i="13"/>
  <c r="AL7" i="13" s="1"/>
  <c r="Q3" i="13"/>
  <c r="O3" i="13"/>
  <c r="O7" i="13" s="1"/>
  <c r="M3" i="13"/>
  <c r="M7" i="13" s="1"/>
  <c r="K3" i="13"/>
  <c r="AL23" i="16" l="1"/>
  <c r="K20" i="15"/>
  <c r="AL22" i="15"/>
  <c r="AL23" i="15"/>
  <c r="I20" i="14"/>
  <c r="K20" i="14"/>
  <c r="E16" i="14"/>
  <c r="J23" i="14" s="1"/>
  <c r="V4" i="14"/>
  <c r="AT17" i="14"/>
  <c r="AK22" i="14"/>
  <c r="AJ22" i="14"/>
  <c r="S17" i="14"/>
  <c r="R26" i="14" s="1"/>
  <c r="AP16" i="14"/>
  <c r="AF16" i="14" s="1"/>
  <c r="AK20" i="14"/>
  <c r="AJ20" i="14"/>
  <c r="K22" i="14"/>
  <c r="AK21" i="14"/>
  <c r="AW3" i="14"/>
  <c r="AJ21" i="14"/>
  <c r="AL21" i="14" s="1"/>
  <c r="J21" i="14"/>
  <c r="V3" i="14"/>
  <c r="I21" i="14"/>
  <c r="K21" i="14" s="1"/>
  <c r="AT9" i="13"/>
  <c r="AT12" i="13"/>
  <c r="AT8" i="13"/>
  <c r="S9" i="13"/>
  <c r="S14" i="13"/>
  <c r="M13" i="13"/>
  <c r="AL10" i="13"/>
  <c r="E10" i="13"/>
  <c r="J22" i="13" s="1"/>
  <c r="E13" i="13"/>
  <c r="J20" i="13" s="1"/>
  <c r="S12" i="13"/>
  <c r="K16" i="13"/>
  <c r="K7" i="13"/>
  <c r="E7" i="13" s="1"/>
  <c r="S3" i="13"/>
  <c r="AF7" i="13"/>
  <c r="I22" i="13"/>
  <c r="AF10" i="13"/>
  <c r="I20" i="13"/>
  <c r="AF13" i="13"/>
  <c r="O16" i="13"/>
  <c r="Q15" i="13"/>
  <c r="Q16" i="13" s="1"/>
  <c r="AN16" i="13"/>
  <c r="AP15" i="13"/>
  <c r="AR15" i="13" s="1"/>
  <c r="AR16" i="13" s="1"/>
  <c r="AT3" i="13"/>
  <c r="S8" i="13"/>
  <c r="S11" i="13"/>
  <c r="AT14" i="13"/>
  <c r="AT11" i="13"/>
  <c r="AX23" i="12"/>
  <c r="AI23" i="12"/>
  <c r="W23" i="12"/>
  <c r="H23" i="12"/>
  <c r="AI22" i="12"/>
  <c r="H22" i="12"/>
  <c r="AI21" i="12"/>
  <c r="H21" i="12"/>
  <c r="AI20" i="12"/>
  <c r="H20" i="12"/>
  <c r="AT15" i="12"/>
  <c r="AL15" i="12"/>
  <c r="AN15" i="12" s="1"/>
  <c r="S15" i="12"/>
  <c r="M15" i="12"/>
  <c r="O15" i="12" s="1"/>
  <c r="K15" i="12"/>
  <c r="AR14" i="12"/>
  <c r="AP14" i="12"/>
  <c r="AN14" i="12"/>
  <c r="AL14" i="12"/>
  <c r="AL16" i="12" s="1"/>
  <c r="Q14" i="12"/>
  <c r="O14" i="12"/>
  <c r="M14" i="12"/>
  <c r="M16" i="12" s="1"/>
  <c r="K14" i="12"/>
  <c r="AC13" i="12"/>
  <c r="Q13" i="12"/>
  <c r="AR12" i="12"/>
  <c r="AP12" i="12"/>
  <c r="AN12" i="12"/>
  <c r="AL12" i="12"/>
  <c r="Q12" i="12"/>
  <c r="O12" i="12"/>
  <c r="M12" i="12"/>
  <c r="K12" i="12"/>
  <c r="AR11" i="12"/>
  <c r="AR13" i="12" s="1"/>
  <c r="AP11" i="12"/>
  <c r="AP13" i="12" s="1"/>
  <c r="AN11" i="12"/>
  <c r="AN13" i="12" s="1"/>
  <c r="AL11" i="12"/>
  <c r="AL13" i="12" s="1"/>
  <c r="Q11" i="12"/>
  <c r="O11" i="12"/>
  <c r="O13" i="12" s="1"/>
  <c r="M11" i="12"/>
  <c r="M13" i="12" s="1"/>
  <c r="K11" i="12"/>
  <c r="K13" i="12" s="1"/>
  <c r="AP10" i="12"/>
  <c r="Q10" i="12"/>
  <c r="AR9" i="12"/>
  <c r="AP9" i="12"/>
  <c r="AN9" i="12"/>
  <c r="AL9" i="12"/>
  <c r="Q9" i="12"/>
  <c r="O9" i="12"/>
  <c r="M9" i="12"/>
  <c r="K9" i="12"/>
  <c r="AR8" i="12"/>
  <c r="AR10" i="12" s="1"/>
  <c r="AP8" i="12"/>
  <c r="AN8" i="12"/>
  <c r="AN10" i="12" s="1"/>
  <c r="AL8" i="12"/>
  <c r="Q8" i="12"/>
  <c r="O8" i="12"/>
  <c r="O10" i="12" s="1"/>
  <c r="M8" i="12"/>
  <c r="M10" i="12" s="1"/>
  <c r="K8" i="12"/>
  <c r="K10" i="12" s="1"/>
  <c r="Q7" i="12"/>
  <c r="AR6" i="12"/>
  <c r="AP6" i="12"/>
  <c r="AN6" i="12"/>
  <c r="AL6" i="12"/>
  <c r="Q6" i="12"/>
  <c r="O6" i="12"/>
  <c r="M6" i="12"/>
  <c r="K6" i="12"/>
  <c r="S6" i="12" s="1"/>
  <c r="AR5" i="12"/>
  <c r="AP5" i="12"/>
  <c r="AN5" i="12"/>
  <c r="AL5" i="12"/>
  <c r="Q5" i="12"/>
  <c r="O5" i="12"/>
  <c r="M5" i="12"/>
  <c r="K5" i="12"/>
  <c r="S5" i="12" s="1"/>
  <c r="AR4" i="12"/>
  <c r="AP4" i="12"/>
  <c r="AN4" i="12"/>
  <c r="AL4" i="12"/>
  <c r="Q4" i="12"/>
  <c r="O4" i="12"/>
  <c r="M4" i="12"/>
  <c r="K4" i="12"/>
  <c r="S4" i="12" s="1"/>
  <c r="AR3" i="12"/>
  <c r="AR7" i="12" s="1"/>
  <c r="AP3" i="12"/>
  <c r="AP7" i="12" s="1"/>
  <c r="AN3" i="12"/>
  <c r="AN7" i="12" s="1"/>
  <c r="AL3" i="12"/>
  <c r="AL7" i="12" s="1"/>
  <c r="Q3" i="12"/>
  <c r="O3" i="12"/>
  <c r="O7" i="12" s="1"/>
  <c r="M3" i="12"/>
  <c r="M7" i="12" s="1"/>
  <c r="K3" i="12"/>
  <c r="I23" i="14" l="1"/>
  <c r="K23" i="14" s="1"/>
  <c r="AJ23" i="14"/>
  <c r="AW4" i="14"/>
  <c r="AK23" i="14"/>
  <c r="AL20" i="14"/>
  <c r="AL22" i="14"/>
  <c r="K20" i="13"/>
  <c r="E16" i="13"/>
  <c r="J23" i="13" s="1"/>
  <c r="AT17" i="13"/>
  <c r="AK22" i="13"/>
  <c r="AJ22" i="13"/>
  <c r="S17" i="13"/>
  <c r="R26" i="13" s="1"/>
  <c r="AP16" i="13"/>
  <c r="AF16" i="13" s="1"/>
  <c r="AK20" i="13"/>
  <c r="AJ20" i="13"/>
  <c r="K22" i="13"/>
  <c r="AK21" i="13"/>
  <c r="AW3" i="13"/>
  <c r="AJ21" i="13"/>
  <c r="AL21" i="13" s="1"/>
  <c r="J21" i="13"/>
  <c r="V3" i="13"/>
  <c r="I21" i="13"/>
  <c r="K21" i="13" s="1"/>
  <c r="AT9" i="12"/>
  <c r="AT8" i="12"/>
  <c r="S9" i="12"/>
  <c r="S14" i="12"/>
  <c r="AT4" i="12"/>
  <c r="AT5" i="12"/>
  <c r="AT6" i="12"/>
  <c r="AL10" i="12"/>
  <c r="AF10" i="12" s="1"/>
  <c r="AT12" i="12"/>
  <c r="E10" i="12"/>
  <c r="J22" i="12" s="1"/>
  <c r="E13" i="12"/>
  <c r="J20" i="12" s="1"/>
  <c r="S12" i="12"/>
  <c r="K16" i="12"/>
  <c r="K7" i="12"/>
  <c r="E7" i="12" s="1"/>
  <c r="S3" i="12"/>
  <c r="AF7" i="12"/>
  <c r="I20" i="12"/>
  <c r="AF13" i="12"/>
  <c r="O16" i="12"/>
  <c r="Q15" i="12"/>
  <c r="Q16" i="12" s="1"/>
  <c r="AN16" i="12"/>
  <c r="AP15" i="12"/>
  <c r="AR15" i="12" s="1"/>
  <c r="AR16" i="12" s="1"/>
  <c r="AT3" i="12"/>
  <c r="S8" i="12"/>
  <c r="S11" i="12"/>
  <c r="AT14" i="12"/>
  <c r="AT11" i="12"/>
  <c r="AX23" i="11"/>
  <c r="AI23" i="11"/>
  <c r="W23" i="11"/>
  <c r="H23" i="11"/>
  <c r="AI22" i="11"/>
  <c r="H22" i="11"/>
  <c r="AI21" i="11"/>
  <c r="H21" i="11"/>
  <c r="AI20" i="11"/>
  <c r="H20" i="11"/>
  <c r="AT15" i="11"/>
  <c r="AL15" i="11"/>
  <c r="AN15" i="11" s="1"/>
  <c r="AP15" i="11" s="1"/>
  <c r="AR15" i="11" s="1"/>
  <c r="S15" i="11"/>
  <c r="K15" i="11"/>
  <c r="M15" i="11" s="1"/>
  <c r="O15" i="11" s="1"/>
  <c r="Q15" i="11" s="1"/>
  <c r="AR14" i="11"/>
  <c r="AP14" i="11"/>
  <c r="AP16" i="11" s="1"/>
  <c r="AN14" i="11"/>
  <c r="AL14" i="11"/>
  <c r="AL16" i="11" s="1"/>
  <c r="Q14" i="11"/>
  <c r="O14" i="11"/>
  <c r="O16" i="11" s="1"/>
  <c r="M14" i="11"/>
  <c r="K14" i="11"/>
  <c r="S14" i="11" s="1"/>
  <c r="AC13" i="11"/>
  <c r="AR12" i="11"/>
  <c r="AP12" i="11"/>
  <c r="AN12" i="11"/>
  <c r="AL12" i="11"/>
  <c r="Q12" i="11"/>
  <c r="O12" i="11"/>
  <c r="M12" i="11"/>
  <c r="K12" i="11"/>
  <c r="AR11" i="11"/>
  <c r="AR13" i="11" s="1"/>
  <c r="AP11" i="11"/>
  <c r="AP13" i="11" s="1"/>
  <c r="AN11" i="11"/>
  <c r="AN13" i="11" s="1"/>
  <c r="AL11" i="11"/>
  <c r="AL13" i="11" s="1"/>
  <c r="Q11" i="11"/>
  <c r="Q13" i="11" s="1"/>
  <c r="O11" i="11"/>
  <c r="O13" i="11" s="1"/>
  <c r="M11" i="11"/>
  <c r="M13" i="11" s="1"/>
  <c r="K11" i="11"/>
  <c r="K13" i="11" s="1"/>
  <c r="AR9" i="11"/>
  <c r="AP9" i="11"/>
  <c r="AN9" i="11"/>
  <c r="AL9" i="11"/>
  <c r="Q9" i="11"/>
  <c r="O9" i="11"/>
  <c r="M9" i="11"/>
  <c r="K9" i="11"/>
  <c r="AR8" i="11"/>
  <c r="AR10" i="11" s="1"/>
  <c r="AP8" i="11"/>
  <c r="AP10" i="11" s="1"/>
  <c r="AN8" i="11"/>
  <c r="AN10" i="11" s="1"/>
  <c r="AL8" i="11"/>
  <c r="Q8" i="11"/>
  <c r="Q10" i="11" s="1"/>
  <c r="O8" i="11"/>
  <c r="O10" i="11" s="1"/>
  <c r="M8" i="11"/>
  <c r="M10" i="11" s="1"/>
  <c r="K8" i="11"/>
  <c r="K10" i="11" s="1"/>
  <c r="AR6" i="11"/>
  <c r="AP6" i="11"/>
  <c r="AN6" i="11"/>
  <c r="AL6" i="11"/>
  <c r="Q6" i="11"/>
  <c r="O6" i="11"/>
  <c r="M6" i="11"/>
  <c r="K6" i="11"/>
  <c r="AR5" i="11"/>
  <c r="AP5" i="11"/>
  <c r="AN5" i="11"/>
  <c r="AL5" i="11"/>
  <c r="Q5" i="11"/>
  <c r="O5" i="11"/>
  <c r="M5" i="11"/>
  <c r="K5" i="11"/>
  <c r="AR4" i="11"/>
  <c r="AP4" i="11"/>
  <c r="AN4" i="11"/>
  <c r="AL4" i="11"/>
  <c r="Q4" i="11"/>
  <c r="O4" i="11"/>
  <c r="M4" i="11"/>
  <c r="K4" i="11"/>
  <c r="AR3" i="11"/>
  <c r="AR7" i="11" s="1"/>
  <c r="AP3" i="11"/>
  <c r="AP7" i="11" s="1"/>
  <c r="AN3" i="11"/>
  <c r="AN7" i="11" s="1"/>
  <c r="AL3" i="11"/>
  <c r="AL7" i="11" s="1"/>
  <c r="Q3" i="11"/>
  <c r="Q7" i="11" s="1"/>
  <c r="O3" i="11"/>
  <c r="O7" i="11" s="1"/>
  <c r="M3" i="11"/>
  <c r="M7" i="11" s="1"/>
  <c r="K3" i="11"/>
  <c r="K7" i="11" s="1"/>
  <c r="AL23" i="14" l="1"/>
  <c r="V4" i="13"/>
  <c r="I23" i="13"/>
  <c r="K23" i="13" s="1"/>
  <c r="AJ23" i="13"/>
  <c r="AW4" i="13"/>
  <c r="AK23" i="13"/>
  <c r="AL20" i="13"/>
  <c r="AL22" i="13"/>
  <c r="I22" i="12"/>
  <c r="K20" i="12"/>
  <c r="E16" i="12"/>
  <c r="J23" i="12" s="1"/>
  <c r="V4" i="12"/>
  <c r="AT17" i="12"/>
  <c r="AK22" i="12"/>
  <c r="AJ22" i="12"/>
  <c r="S17" i="12"/>
  <c r="R26" i="12" s="1"/>
  <c r="AP16" i="12"/>
  <c r="AF16" i="12" s="1"/>
  <c r="AK20" i="12"/>
  <c r="AJ20" i="12"/>
  <c r="K22" i="12"/>
  <c r="AK21" i="12"/>
  <c r="AW3" i="12"/>
  <c r="AJ21" i="12"/>
  <c r="AL21" i="12" s="1"/>
  <c r="J21" i="12"/>
  <c r="V3" i="12"/>
  <c r="I21" i="12"/>
  <c r="K21" i="12" s="1"/>
  <c r="S9" i="11"/>
  <c r="S12" i="11"/>
  <c r="S6" i="11"/>
  <c r="S5" i="11"/>
  <c r="S4" i="11"/>
  <c r="E7" i="11"/>
  <c r="I21" i="11" s="1"/>
  <c r="AF7" i="11"/>
  <c r="AJ21" i="11" s="1"/>
  <c r="AT4" i="11"/>
  <c r="AT5" i="11"/>
  <c r="AT6" i="11"/>
  <c r="AT8" i="11"/>
  <c r="AT9" i="11"/>
  <c r="AT12" i="11"/>
  <c r="J21" i="11"/>
  <c r="AK21" i="11"/>
  <c r="E10" i="11"/>
  <c r="E13" i="11"/>
  <c r="AF13" i="11"/>
  <c r="M16" i="11"/>
  <c r="Q16" i="11"/>
  <c r="AN16" i="11"/>
  <c r="AF16" i="11" s="1"/>
  <c r="AR16" i="11"/>
  <c r="AT3" i="11"/>
  <c r="S8" i="11"/>
  <c r="AL10" i="11"/>
  <c r="AF10" i="11" s="1"/>
  <c r="S11" i="11"/>
  <c r="AT14" i="11"/>
  <c r="K16" i="11"/>
  <c r="S3" i="11"/>
  <c r="AT11" i="11"/>
  <c r="AX23" i="10"/>
  <c r="AI23" i="10"/>
  <c r="W23" i="10"/>
  <c r="H23" i="10"/>
  <c r="AI22" i="10"/>
  <c r="H22" i="10"/>
  <c r="AI21" i="10"/>
  <c r="H21" i="10"/>
  <c r="AI20" i="10"/>
  <c r="H20" i="10"/>
  <c r="AT15" i="10"/>
  <c r="AL15" i="10"/>
  <c r="AN15" i="10" s="1"/>
  <c r="AP15" i="10" s="1"/>
  <c r="AR15" i="10" s="1"/>
  <c r="S15" i="10"/>
  <c r="M15" i="10"/>
  <c r="O15" i="10" s="1"/>
  <c r="Q15" i="10" s="1"/>
  <c r="K15" i="10"/>
  <c r="AR14" i="10"/>
  <c r="AR16" i="10" s="1"/>
  <c r="AP14" i="10"/>
  <c r="AN14" i="10"/>
  <c r="AN16" i="10" s="1"/>
  <c r="AL14" i="10"/>
  <c r="AL16" i="10" s="1"/>
  <c r="Q14" i="10"/>
  <c r="Q16" i="10" s="1"/>
  <c r="O14" i="10"/>
  <c r="M14" i="10"/>
  <c r="M16" i="10" s="1"/>
  <c r="K14" i="10"/>
  <c r="AC13" i="10"/>
  <c r="AR12" i="10"/>
  <c r="AP12" i="10"/>
  <c r="AN12" i="10"/>
  <c r="AL12" i="10"/>
  <c r="AT12" i="10" s="1"/>
  <c r="Q12" i="10"/>
  <c r="O12" i="10"/>
  <c r="M12" i="10"/>
  <c r="K12" i="10"/>
  <c r="S12" i="10" s="1"/>
  <c r="AR11" i="10"/>
  <c r="AR13" i="10" s="1"/>
  <c r="AP11" i="10"/>
  <c r="AP13" i="10" s="1"/>
  <c r="AN11" i="10"/>
  <c r="AN13" i="10" s="1"/>
  <c r="AL11" i="10"/>
  <c r="AL13" i="10" s="1"/>
  <c r="AF13" i="10" s="1"/>
  <c r="Q11" i="10"/>
  <c r="Q13" i="10" s="1"/>
  <c r="O11" i="10"/>
  <c r="O13" i="10" s="1"/>
  <c r="M11" i="10"/>
  <c r="M13" i="10" s="1"/>
  <c r="K11" i="10"/>
  <c r="K13" i="10" s="1"/>
  <c r="E13" i="10" s="1"/>
  <c r="AR9" i="10"/>
  <c r="AP9" i="10"/>
  <c r="AN9" i="10"/>
  <c r="AL9" i="10"/>
  <c r="AT9" i="10" s="1"/>
  <c r="Q9" i="10"/>
  <c r="O9" i="10"/>
  <c r="M9" i="10"/>
  <c r="K9" i="10"/>
  <c r="S9" i="10" s="1"/>
  <c r="AR8" i="10"/>
  <c r="AR10" i="10" s="1"/>
  <c r="AP8" i="10"/>
  <c r="AP10" i="10" s="1"/>
  <c r="AN8" i="10"/>
  <c r="AN10" i="10" s="1"/>
  <c r="AL8" i="10"/>
  <c r="AT8" i="10" s="1"/>
  <c r="Q8" i="10"/>
  <c r="Q10" i="10" s="1"/>
  <c r="O8" i="10"/>
  <c r="O10" i="10" s="1"/>
  <c r="M8" i="10"/>
  <c r="M10" i="10" s="1"/>
  <c r="K8" i="10"/>
  <c r="K10" i="10" s="1"/>
  <c r="E10" i="10" s="1"/>
  <c r="AR6" i="10"/>
  <c r="AP6" i="10"/>
  <c r="AN6" i="10"/>
  <c r="AL6" i="10"/>
  <c r="AT6" i="10" s="1"/>
  <c r="Q6" i="10"/>
  <c r="O6" i="10"/>
  <c r="M6" i="10"/>
  <c r="K6" i="10"/>
  <c r="S6" i="10" s="1"/>
  <c r="AR5" i="10"/>
  <c r="AP5" i="10"/>
  <c r="AN5" i="10"/>
  <c r="AL5" i="10"/>
  <c r="AT5" i="10" s="1"/>
  <c r="Q5" i="10"/>
  <c r="O5" i="10"/>
  <c r="M5" i="10"/>
  <c r="K5" i="10"/>
  <c r="S5" i="10" s="1"/>
  <c r="AR4" i="10"/>
  <c r="AP4" i="10"/>
  <c r="AN4" i="10"/>
  <c r="AL4" i="10"/>
  <c r="AT4" i="10" s="1"/>
  <c r="Q4" i="10"/>
  <c r="O4" i="10"/>
  <c r="M4" i="10"/>
  <c r="K4" i="10"/>
  <c r="S4" i="10" s="1"/>
  <c r="AR3" i="10"/>
  <c r="AR7" i="10" s="1"/>
  <c r="AP3" i="10"/>
  <c r="AP7" i="10" s="1"/>
  <c r="AN3" i="10"/>
  <c r="AN7" i="10" s="1"/>
  <c r="AL3" i="10"/>
  <c r="AT3" i="10" s="1"/>
  <c r="Q3" i="10"/>
  <c r="Q7" i="10" s="1"/>
  <c r="O3" i="10"/>
  <c r="O7" i="10" s="1"/>
  <c r="M3" i="10"/>
  <c r="M7" i="10" s="1"/>
  <c r="K3" i="10"/>
  <c r="K7" i="10" s="1"/>
  <c r="E7" i="10" s="1"/>
  <c r="AL23" i="13" l="1"/>
  <c r="I23" i="12"/>
  <c r="K23" i="12" s="1"/>
  <c r="AJ23" i="12"/>
  <c r="AW4" i="12"/>
  <c r="AK23" i="12"/>
  <c r="AL20" i="12"/>
  <c r="AL22" i="12"/>
  <c r="AL21" i="11"/>
  <c r="K21" i="11"/>
  <c r="E16" i="11"/>
  <c r="V4" i="11" s="1"/>
  <c r="AJ23" i="11"/>
  <c r="AW4" i="11"/>
  <c r="AK23" i="11"/>
  <c r="AK20" i="11"/>
  <c r="AJ20" i="11"/>
  <c r="J22" i="11"/>
  <c r="I22" i="11"/>
  <c r="V3" i="11"/>
  <c r="S17" i="11"/>
  <c r="R26" i="11" s="1"/>
  <c r="AK22" i="11"/>
  <c r="AJ22" i="11"/>
  <c r="AT17" i="11"/>
  <c r="J20" i="11"/>
  <c r="I20" i="11"/>
  <c r="AW3" i="11"/>
  <c r="S14" i="10"/>
  <c r="J20" i="10"/>
  <c r="I20" i="10"/>
  <c r="AK20" i="10"/>
  <c r="AJ20" i="10"/>
  <c r="J21" i="10"/>
  <c r="V3" i="10"/>
  <c r="I21" i="10"/>
  <c r="K21" i="10" s="1"/>
  <c r="J22" i="10"/>
  <c r="I22" i="10"/>
  <c r="O16" i="10"/>
  <c r="AF16" i="10"/>
  <c r="AP16" i="10"/>
  <c r="AL7" i="10"/>
  <c r="AF7" i="10" s="1"/>
  <c r="S8" i="10"/>
  <c r="AL10" i="10"/>
  <c r="AF10" i="10" s="1"/>
  <c r="S11" i="10"/>
  <c r="AT14" i="10"/>
  <c r="K16" i="10"/>
  <c r="E16" i="10" s="1"/>
  <c r="S3" i="10"/>
  <c r="AT11" i="10"/>
  <c r="AX23" i="9"/>
  <c r="AI23" i="9"/>
  <c r="W23" i="9"/>
  <c r="H23" i="9"/>
  <c r="AI22" i="9"/>
  <c r="H22" i="9"/>
  <c r="AI21" i="9"/>
  <c r="H21" i="9"/>
  <c r="AI20" i="9"/>
  <c r="H20" i="9"/>
  <c r="AT15" i="9"/>
  <c r="AN15" i="9"/>
  <c r="AP15" i="9" s="1"/>
  <c r="AR15" i="9" s="1"/>
  <c r="AL15" i="9"/>
  <c r="S15" i="9"/>
  <c r="K15" i="9"/>
  <c r="M15" i="9" s="1"/>
  <c r="O15" i="9" s="1"/>
  <c r="Q15" i="9" s="1"/>
  <c r="AR14" i="9"/>
  <c r="AR16" i="9" s="1"/>
  <c r="AP14" i="9"/>
  <c r="AN14" i="9"/>
  <c r="AN16" i="9" s="1"/>
  <c r="AL14" i="9"/>
  <c r="AL16" i="9" s="1"/>
  <c r="Q14" i="9"/>
  <c r="Q16" i="9" s="1"/>
  <c r="O14" i="9"/>
  <c r="O16" i="9" s="1"/>
  <c r="M14" i="9"/>
  <c r="M16" i="9" s="1"/>
  <c r="K14" i="9"/>
  <c r="AC13" i="9"/>
  <c r="AR12" i="9"/>
  <c r="AP12" i="9"/>
  <c r="AN12" i="9"/>
  <c r="AL12" i="9"/>
  <c r="AT12" i="9" s="1"/>
  <c r="Q12" i="9"/>
  <c r="O12" i="9"/>
  <c r="M12" i="9"/>
  <c r="K12" i="9"/>
  <c r="S12" i="9" s="1"/>
  <c r="AR11" i="9"/>
  <c r="AR13" i="9" s="1"/>
  <c r="AP11" i="9"/>
  <c r="AP13" i="9" s="1"/>
  <c r="AN11" i="9"/>
  <c r="AN13" i="9" s="1"/>
  <c r="AL11" i="9"/>
  <c r="AL13" i="9" s="1"/>
  <c r="AF13" i="9" s="1"/>
  <c r="Q11" i="9"/>
  <c r="Q13" i="9" s="1"/>
  <c r="O11" i="9"/>
  <c r="O13" i="9" s="1"/>
  <c r="M11" i="9"/>
  <c r="M13" i="9" s="1"/>
  <c r="K11" i="9"/>
  <c r="K13" i="9" s="1"/>
  <c r="E13" i="9" s="1"/>
  <c r="AR9" i="9"/>
  <c r="AP9" i="9"/>
  <c r="AN9" i="9"/>
  <c r="AL9" i="9"/>
  <c r="AT9" i="9" s="1"/>
  <c r="Q9" i="9"/>
  <c r="O9" i="9"/>
  <c r="M9" i="9"/>
  <c r="K9" i="9"/>
  <c r="S9" i="9" s="1"/>
  <c r="AR8" i="9"/>
  <c r="AR10" i="9" s="1"/>
  <c r="AP8" i="9"/>
  <c r="AP10" i="9" s="1"/>
  <c r="AN8" i="9"/>
  <c r="AN10" i="9" s="1"/>
  <c r="AL8" i="9"/>
  <c r="AT8" i="9" s="1"/>
  <c r="Q8" i="9"/>
  <c r="Q10" i="9" s="1"/>
  <c r="O8" i="9"/>
  <c r="O10" i="9" s="1"/>
  <c r="M8" i="9"/>
  <c r="M10" i="9" s="1"/>
  <c r="K8" i="9"/>
  <c r="K10" i="9" s="1"/>
  <c r="E10" i="9" s="1"/>
  <c r="AR6" i="9"/>
  <c r="AP6" i="9"/>
  <c r="AN6" i="9"/>
  <c r="AL6" i="9"/>
  <c r="AT6" i="9" s="1"/>
  <c r="Q6" i="9"/>
  <c r="O6" i="9"/>
  <c r="M6" i="9"/>
  <c r="K6" i="9"/>
  <c r="S6" i="9" s="1"/>
  <c r="AR5" i="9"/>
  <c r="AP5" i="9"/>
  <c r="AN5" i="9"/>
  <c r="AL5" i="9"/>
  <c r="AT5" i="9" s="1"/>
  <c r="Q5" i="9"/>
  <c r="O5" i="9"/>
  <c r="M5" i="9"/>
  <c r="K5" i="9"/>
  <c r="S5" i="9" s="1"/>
  <c r="AR4" i="9"/>
  <c r="AP4" i="9"/>
  <c r="AN4" i="9"/>
  <c r="AL4" i="9"/>
  <c r="AT4" i="9" s="1"/>
  <c r="Q4" i="9"/>
  <c r="O4" i="9"/>
  <c r="M4" i="9"/>
  <c r="K4" i="9"/>
  <c r="S4" i="9" s="1"/>
  <c r="AR3" i="9"/>
  <c r="AR7" i="9" s="1"/>
  <c r="AP3" i="9"/>
  <c r="AP7" i="9" s="1"/>
  <c r="AN3" i="9"/>
  <c r="AN7" i="9" s="1"/>
  <c r="AL3" i="9"/>
  <c r="AL7" i="9" s="1"/>
  <c r="AF7" i="9" s="1"/>
  <c r="Q3" i="9"/>
  <c r="Q7" i="9" s="1"/>
  <c r="O3" i="9"/>
  <c r="O7" i="9" s="1"/>
  <c r="M3" i="9"/>
  <c r="M7" i="9" s="1"/>
  <c r="K3" i="9"/>
  <c r="K7" i="9" s="1"/>
  <c r="E7" i="9" s="1"/>
  <c r="AL23" i="12" l="1"/>
  <c r="AL22" i="11"/>
  <c r="AL20" i="11"/>
  <c r="K22" i="11"/>
  <c r="I23" i="11"/>
  <c r="J23" i="11"/>
  <c r="K20" i="11"/>
  <c r="AL23" i="11"/>
  <c r="S17" i="10"/>
  <c r="R26" i="10" s="1"/>
  <c r="K22" i="10"/>
  <c r="AT17" i="10"/>
  <c r="AK22" i="10"/>
  <c r="AJ22" i="10"/>
  <c r="AK21" i="10"/>
  <c r="AW3" i="10"/>
  <c r="AJ21" i="10"/>
  <c r="AL21" i="10" s="1"/>
  <c r="AJ23" i="10"/>
  <c r="AW4" i="10"/>
  <c r="AK23" i="10"/>
  <c r="J23" i="10"/>
  <c r="V4" i="10"/>
  <c r="I23" i="10"/>
  <c r="K23" i="10" s="1"/>
  <c r="AL20" i="10"/>
  <c r="K20" i="10"/>
  <c r="S14" i="9"/>
  <c r="J21" i="9"/>
  <c r="I21" i="9"/>
  <c r="V3" i="9"/>
  <c r="J20" i="9"/>
  <c r="I20" i="9"/>
  <c r="AK20" i="9"/>
  <c r="AJ20" i="9"/>
  <c r="AK21" i="9"/>
  <c r="AJ21" i="9"/>
  <c r="AL21" i="9" s="1"/>
  <c r="J22" i="9"/>
  <c r="I22" i="9"/>
  <c r="K22" i="9" s="1"/>
  <c r="AP16" i="9"/>
  <c r="AF16" i="9" s="1"/>
  <c r="S3" i="9"/>
  <c r="AT3" i="9"/>
  <c r="S8" i="9"/>
  <c r="AL10" i="9"/>
  <c r="AF10" i="9" s="1"/>
  <c r="S11" i="9"/>
  <c r="AT14" i="9"/>
  <c r="K16" i="9"/>
  <c r="E16" i="9" s="1"/>
  <c r="AT11" i="9"/>
  <c r="AX23" i="8"/>
  <c r="AI23" i="8"/>
  <c r="W23" i="8"/>
  <c r="H23" i="8"/>
  <c r="AI22" i="8"/>
  <c r="H22" i="8"/>
  <c r="AI21" i="8"/>
  <c r="H21" i="8"/>
  <c r="AI20" i="8"/>
  <c r="H20" i="8"/>
  <c r="AT15" i="8"/>
  <c r="AL15" i="8"/>
  <c r="AN15" i="8" s="1"/>
  <c r="AP15" i="8" s="1"/>
  <c r="AR15" i="8" s="1"/>
  <c r="S15" i="8"/>
  <c r="M15" i="8"/>
  <c r="O15" i="8" s="1"/>
  <c r="Q15" i="8" s="1"/>
  <c r="K15" i="8"/>
  <c r="AR14" i="8"/>
  <c r="AR16" i="8" s="1"/>
  <c r="AP14" i="8"/>
  <c r="AN14" i="8"/>
  <c r="AN16" i="8" s="1"/>
  <c r="AL14" i="8"/>
  <c r="AL16" i="8" s="1"/>
  <c r="Q14" i="8"/>
  <c r="Q16" i="8" s="1"/>
  <c r="O14" i="8"/>
  <c r="M14" i="8"/>
  <c r="M16" i="8" s="1"/>
  <c r="K14" i="8"/>
  <c r="AC13" i="8"/>
  <c r="Q13" i="8"/>
  <c r="M13" i="8"/>
  <c r="AR12" i="8"/>
  <c r="AP12" i="8"/>
  <c r="AN12" i="8"/>
  <c r="AL12" i="8"/>
  <c r="AT12" i="8" s="1"/>
  <c r="Q12" i="8"/>
  <c r="O12" i="8"/>
  <c r="M12" i="8"/>
  <c r="K12" i="8"/>
  <c r="S12" i="8" s="1"/>
  <c r="AR11" i="8"/>
  <c r="AR13" i="8" s="1"/>
  <c r="AP11" i="8"/>
  <c r="AP13" i="8" s="1"/>
  <c r="AN11" i="8"/>
  <c r="AN13" i="8" s="1"/>
  <c r="AL11" i="8"/>
  <c r="AL13" i="8" s="1"/>
  <c r="AF13" i="8" s="1"/>
  <c r="Q11" i="8"/>
  <c r="O11" i="8"/>
  <c r="O13" i="8" s="1"/>
  <c r="M11" i="8"/>
  <c r="K11" i="8"/>
  <c r="K13" i="8" s="1"/>
  <c r="E13" i="8" s="1"/>
  <c r="AP10" i="8"/>
  <c r="Q10" i="8"/>
  <c r="AR9" i="8"/>
  <c r="AP9" i="8"/>
  <c r="AN9" i="8"/>
  <c r="AL9" i="8"/>
  <c r="AT9" i="8" s="1"/>
  <c r="Q9" i="8"/>
  <c r="O9" i="8"/>
  <c r="M9" i="8"/>
  <c r="K9" i="8"/>
  <c r="S9" i="8" s="1"/>
  <c r="AR8" i="8"/>
  <c r="AR10" i="8" s="1"/>
  <c r="AP8" i="8"/>
  <c r="AN8" i="8"/>
  <c r="AN10" i="8" s="1"/>
  <c r="AL8" i="8"/>
  <c r="AT8" i="8" s="1"/>
  <c r="Q8" i="8"/>
  <c r="O8" i="8"/>
  <c r="O10" i="8" s="1"/>
  <c r="M8" i="8"/>
  <c r="M10" i="8" s="1"/>
  <c r="K8" i="8"/>
  <c r="K10" i="8" s="1"/>
  <c r="Q7" i="8"/>
  <c r="AR6" i="8"/>
  <c r="AP6" i="8"/>
  <c r="AN6" i="8"/>
  <c r="AL6" i="8"/>
  <c r="Q6" i="8"/>
  <c r="O6" i="8"/>
  <c r="M6" i="8"/>
  <c r="K6" i="8"/>
  <c r="AR5" i="8"/>
  <c r="AP5" i="8"/>
  <c r="AN5" i="8"/>
  <c r="AL5" i="8"/>
  <c r="Q5" i="8"/>
  <c r="O5" i="8"/>
  <c r="M5" i="8"/>
  <c r="K5" i="8"/>
  <c r="AR4" i="8"/>
  <c r="AP4" i="8"/>
  <c r="AN4" i="8"/>
  <c r="AL4" i="8"/>
  <c r="Q4" i="8"/>
  <c r="O4" i="8"/>
  <c r="M4" i="8"/>
  <c r="K4" i="8"/>
  <c r="AR3" i="8"/>
  <c r="AR7" i="8" s="1"/>
  <c r="AP3" i="8"/>
  <c r="AP7" i="8" s="1"/>
  <c r="AN3" i="8"/>
  <c r="AN7" i="8" s="1"/>
  <c r="AL3" i="8"/>
  <c r="AL7" i="8" s="1"/>
  <c r="Q3" i="8"/>
  <c r="O3" i="8"/>
  <c r="O7" i="8" s="1"/>
  <c r="M3" i="8"/>
  <c r="M7" i="8" s="1"/>
  <c r="K3" i="8"/>
  <c r="K7" i="8" s="1"/>
  <c r="K23" i="11" l="1"/>
  <c r="AL22" i="10"/>
  <c r="AL23" i="10"/>
  <c r="K21" i="9"/>
  <c r="AJ23" i="9"/>
  <c r="AW4" i="9"/>
  <c r="AK23" i="9"/>
  <c r="AK22" i="9"/>
  <c r="AJ22" i="9"/>
  <c r="AT17" i="9"/>
  <c r="J23" i="9"/>
  <c r="V4" i="9"/>
  <c r="I23" i="9"/>
  <c r="K23" i="9" s="1"/>
  <c r="S17" i="9"/>
  <c r="R26" i="9" s="1"/>
  <c r="AW3" i="9"/>
  <c r="AL20" i="9"/>
  <c r="K20" i="9"/>
  <c r="AT6" i="8"/>
  <c r="AT5" i="8"/>
  <c r="AT4" i="8"/>
  <c r="AF7" i="8"/>
  <c r="S4" i="8"/>
  <c r="S5" i="8"/>
  <c r="S6" i="8"/>
  <c r="E10" i="8"/>
  <c r="V3" i="8" s="1"/>
  <c r="E7" i="8"/>
  <c r="AL10" i="8"/>
  <c r="AF10" i="8" s="1"/>
  <c r="AK22" i="8" s="1"/>
  <c r="S14" i="8"/>
  <c r="J21" i="8"/>
  <c r="I21" i="8"/>
  <c r="I22" i="8"/>
  <c r="J20" i="8"/>
  <c r="I20" i="8"/>
  <c r="AK20" i="8"/>
  <c r="AJ20" i="8"/>
  <c r="AK21" i="8"/>
  <c r="O16" i="8"/>
  <c r="AP16" i="8"/>
  <c r="AF16" i="8" s="1"/>
  <c r="K16" i="8"/>
  <c r="E16" i="8" s="1"/>
  <c r="S3" i="8"/>
  <c r="AT3" i="8"/>
  <c r="S8" i="8"/>
  <c r="S11" i="8"/>
  <c r="AT14" i="8"/>
  <c r="AT11" i="8"/>
  <c r="AX23" i="7"/>
  <c r="AI23" i="7"/>
  <c r="W23" i="7"/>
  <c r="H23" i="7"/>
  <c r="AI22" i="7"/>
  <c r="H22" i="7"/>
  <c r="AI21" i="7"/>
  <c r="H21" i="7"/>
  <c r="AI20" i="7"/>
  <c r="H20" i="7"/>
  <c r="AT15" i="7"/>
  <c r="AN15" i="7"/>
  <c r="AP15" i="7" s="1"/>
  <c r="AL15" i="7"/>
  <c r="S15" i="7"/>
  <c r="K15" i="7"/>
  <c r="M15" i="7" s="1"/>
  <c r="AR14" i="7"/>
  <c r="AP14" i="7"/>
  <c r="AN14" i="7"/>
  <c r="AN16" i="7" s="1"/>
  <c r="AL14" i="7"/>
  <c r="AL16" i="7" s="1"/>
  <c r="Q14" i="7"/>
  <c r="O14" i="7"/>
  <c r="M14" i="7"/>
  <c r="K14" i="7"/>
  <c r="K16" i="7" s="1"/>
  <c r="AC13" i="7"/>
  <c r="O13" i="7"/>
  <c r="AR12" i="7"/>
  <c r="AP12" i="7"/>
  <c r="AN12" i="7"/>
  <c r="AL12" i="7"/>
  <c r="Q12" i="7"/>
  <c r="O12" i="7"/>
  <c r="M12" i="7"/>
  <c r="K12" i="7"/>
  <c r="S12" i="7" s="1"/>
  <c r="AR11" i="7"/>
  <c r="AR13" i="7" s="1"/>
  <c r="AP11" i="7"/>
  <c r="AP13" i="7" s="1"/>
  <c r="AN11" i="7"/>
  <c r="AN13" i="7" s="1"/>
  <c r="AL11" i="7"/>
  <c r="AL13" i="7" s="1"/>
  <c r="Q11" i="7"/>
  <c r="Q13" i="7" s="1"/>
  <c r="O11" i="7"/>
  <c r="M11" i="7"/>
  <c r="M13" i="7" s="1"/>
  <c r="K11" i="7"/>
  <c r="S11" i="7" s="1"/>
  <c r="AR10" i="7"/>
  <c r="O10" i="7"/>
  <c r="AR9" i="7"/>
  <c r="AP9" i="7"/>
  <c r="AN9" i="7"/>
  <c r="AL9" i="7"/>
  <c r="Q9" i="7"/>
  <c r="O9" i="7"/>
  <c r="M9" i="7"/>
  <c r="K9" i="7"/>
  <c r="S9" i="7" s="1"/>
  <c r="AR8" i="7"/>
  <c r="AP8" i="7"/>
  <c r="AP10" i="7" s="1"/>
  <c r="AN8" i="7"/>
  <c r="AN10" i="7" s="1"/>
  <c r="AL8" i="7"/>
  <c r="AL10" i="7" s="1"/>
  <c r="Q8" i="7"/>
  <c r="Q10" i="7" s="1"/>
  <c r="O8" i="7"/>
  <c r="M8" i="7"/>
  <c r="M10" i="7" s="1"/>
  <c r="K8" i="7"/>
  <c r="S8" i="7" s="1"/>
  <c r="O7" i="7"/>
  <c r="AR6" i="7"/>
  <c r="AP6" i="7"/>
  <c r="AN6" i="7"/>
  <c r="AL6" i="7"/>
  <c r="Q6" i="7"/>
  <c r="O6" i="7"/>
  <c r="M6" i="7"/>
  <c r="K6" i="7"/>
  <c r="AR5" i="7"/>
  <c r="AP5" i="7"/>
  <c r="AN5" i="7"/>
  <c r="AL5" i="7"/>
  <c r="Q5" i="7"/>
  <c r="O5" i="7"/>
  <c r="M5" i="7"/>
  <c r="K5" i="7"/>
  <c r="AR4" i="7"/>
  <c r="AP4" i="7"/>
  <c r="AN4" i="7"/>
  <c r="AL4" i="7"/>
  <c r="Q4" i="7"/>
  <c r="O4" i="7"/>
  <c r="M4" i="7"/>
  <c r="K4" i="7"/>
  <c r="AR3" i="7"/>
  <c r="AR7" i="7" s="1"/>
  <c r="AP3" i="7"/>
  <c r="AP7" i="7" s="1"/>
  <c r="AN3" i="7"/>
  <c r="AN7" i="7" s="1"/>
  <c r="AL3" i="7"/>
  <c r="AL7" i="7" s="1"/>
  <c r="Q3" i="7"/>
  <c r="Q7" i="7" s="1"/>
  <c r="O3" i="7"/>
  <c r="M3" i="7"/>
  <c r="M7" i="7" s="1"/>
  <c r="K3" i="7"/>
  <c r="AL22" i="9" l="1"/>
  <c r="AL23" i="9"/>
  <c r="AJ22" i="8"/>
  <c r="AL20" i="8"/>
  <c r="AW3" i="8"/>
  <c r="AJ21" i="8"/>
  <c r="AL21" i="8" s="1"/>
  <c r="K21" i="8"/>
  <c r="J22" i="8"/>
  <c r="K22" i="8" s="1"/>
  <c r="AJ23" i="8"/>
  <c r="AW4" i="8"/>
  <c r="AK23" i="8"/>
  <c r="AT17" i="8"/>
  <c r="J23" i="8"/>
  <c r="V4" i="8"/>
  <c r="I23" i="8"/>
  <c r="K23" i="8" s="1"/>
  <c r="S17" i="8"/>
  <c r="R26" i="8" s="1"/>
  <c r="K20" i="8"/>
  <c r="AL22" i="8"/>
  <c r="AT9" i="7"/>
  <c r="S6" i="7"/>
  <c r="S5" i="7"/>
  <c r="S4" i="7"/>
  <c r="S3" i="7"/>
  <c r="AF10" i="7"/>
  <c r="AK22" i="7" s="1"/>
  <c r="AF7" i="7"/>
  <c r="AJ21" i="7" s="1"/>
  <c r="AT4" i="7"/>
  <c r="AT5" i="7"/>
  <c r="AT6" i="7"/>
  <c r="AF13" i="7"/>
  <c r="AJ20" i="7" s="1"/>
  <c r="AT12" i="7"/>
  <c r="AT14" i="7"/>
  <c r="K7" i="7"/>
  <c r="E7" i="7" s="1"/>
  <c r="I21" i="7" s="1"/>
  <c r="K10" i="7"/>
  <c r="K13" i="7"/>
  <c r="E13" i="7" s="1"/>
  <c r="S14" i="7"/>
  <c r="J21" i="7"/>
  <c r="AJ22" i="7"/>
  <c r="E10" i="7"/>
  <c r="O15" i="7"/>
  <c r="Q15" i="7" s="1"/>
  <c r="Q16" i="7" s="1"/>
  <c r="M16" i="7"/>
  <c r="AK21" i="7"/>
  <c r="O16" i="7"/>
  <c r="E16" i="7" s="1"/>
  <c r="AR15" i="7"/>
  <c r="AR16" i="7" s="1"/>
  <c r="AF16" i="7" s="1"/>
  <c r="AP16" i="7"/>
  <c r="AT8" i="7"/>
  <c r="AT11" i="7"/>
  <c r="AT3" i="7"/>
  <c r="AX23" i="6"/>
  <c r="AI23" i="6"/>
  <c r="W23" i="6"/>
  <c r="H23" i="6"/>
  <c r="AI22" i="6"/>
  <c r="H22" i="6"/>
  <c r="AI21" i="6"/>
  <c r="H21" i="6"/>
  <c r="AI20" i="6"/>
  <c r="H20" i="6"/>
  <c r="AT15" i="6"/>
  <c r="AL15" i="6"/>
  <c r="AN15" i="6" s="1"/>
  <c r="AP15" i="6" s="1"/>
  <c r="AR15" i="6" s="1"/>
  <c r="S15" i="6"/>
  <c r="K15" i="6"/>
  <c r="M15" i="6" s="1"/>
  <c r="O15" i="6" s="1"/>
  <c r="Q15" i="6" s="1"/>
  <c r="AR14" i="6"/>
  <c r="AP14" i="6"/>
  <c r="AP16" i="6" s="1"/>
  <c r="AN14" i="6"/>
  <c r="AL14" i="6"/>
  <c r="AL16" i="6" s="1"/>
  <c r="Q14" i="6"/>
  <c r="O14" i="6"/>
  <c r="O16" i="6" s="1"/>
  <c r="M14" i="6"/>
  <c r="K14" i="6"/>
  <c r="S14" i="6" s="1"/>
  <c r="AC13" i="6"/>
  <c r="AR12" i="6"/>
  <c r="AP12" i="6"/>
  <c r="AN12" i="6"/>
  <c r="AL12" i="6"/>
  <c r="Q12" i="6"/>
  <c r="O12" i="6"/>
  <c r="M12" i="6"/>
  <c r="K12" i="6"/>
  <c r="AR11" i="6"/>
  <c r="AR13" i="6" s="1"/>
  <c r="AP11" i="6"/>
  <c r="AP13" i="6" s="1"/>
  <c r="AN11" i="6"/>
  <c r="AN13" i="6" s="1"/>
  <c r="AL11" i="6"/>
  <c r="AL13" i="6" s="1"/>
  <c r="Q11" i="6"/>
  <c r="Q13" i="6" s="1"/>
  <c r="O11" i="6"/>
  <c r="O13" i="6" s="1"/>
  <c r="M11" i="6"/>
  <c r="M13" i="6" s="1"/>
  <c r="K11" i="6"/>
  <c r="K13" i="6" s="1"/>
  <c r="AR9" i="6"/>
  <c r="AP9" i="6"/>
  <c r="AN9" i="6"/>
  <c r="AL9" i="6"/>
  <c r="Q9" i="6"/>
  <c r="O9" i="6"/>
  <c r="M9" i="6"/>
  <c r="K9" i="6"/>
  <c r="AR8" i="6"/>
  <c r="AR10" i="6" s="1"/>
  <c r="AP8" i="6"/>
  <c r="AP10" i="6" s="1"/>
  <c r="AN8" i="6"/>
  <c r="AN10" i="6" s="1"/>
  <c r="AL8" i="6"/>
  <c r="Q8" i="6"/>
  <c r="Q10" i="6" s="1"/>
  <c r="O8" i="6"/>
  <c r="O10" i="6" s="1"/>
  <c r="M8" i="6"/>
  <c r="M10" i="6" s="1"/>
  <c r="K8" i="6"/>
  <c r="K10" i="6" s="1"/>
  <c r="AR6" i="6"/>
  <c r="AP6" i="6"/>
  <c r="AN6" i="6"/>
  <c r="AL6" i="6"/>
  <c r="Q6" i="6"/>
  <c r="O6" i="6"/>
  <c r="M6" i="6"/>
  <c r="K6" i="6"/>
  <c r="AR5" i="6"/>
  <c r="AP5" i="6"/>
  <c r="AN5" i="6"/>
  <c r="AL5" i="6"/>
  <c r="Q5" i="6"/>
  <c r="O5" i="6"/>
  <c r="M5" i="6"/>
  <c r="K5" i="6"/>
  <c r="AR4" i="6"/>
  <c r="AP4" i="6"/>
  <c r="AN4" i="6"/>
  <c r="AL4" i="6"/>
  <c r="Q4" i="6"/>
  <c r="O4" i="6"/>
  <c r="M4" i="6"/>
  <c r="K4" i="6"/>
  <c r="AR3" i="6"/>
  <c r="AR7" i="6" s="1"/>
  <c r="AP3" i="6"/>
  <c r="AP7" i="6" s="1"/>
  <c r="AN3" i="6"/>
  <c r="AN7" i="6" s="1"/>
  <c r="AL3" i="6"/>
  <c r="AL7" i="6" s="1"/>
  <c r="Q3" i="6"/>
  <c r="Q7" i="6" s="1"/>
  <c r="O3" i="6"/>
  <c r="O7" i="6" s="1"/>
  <c r="M3" i="6"/>
  <c r="M7" i="6" s="1"/>
  <c r="K3" i="6"/>
  <c r="K7" i="6" s="1"/>
  <c r="AL23" i="8" l="1"/>
  <c r="AK20" i="7"/>
  <c r="AL20" i="7" s="1"/>
  <c r="K21" i="7"/>
  <c r="S17" i="7"/>
  <c r="R26" i="7" s="1"/>
  <c r="AW3" i="7"/>
  <c r="J23" i="7"/>
  <c r="I23" i="7"/>
  <c r="V4" i="7"/>
  <c r="AJ23" i="7"/>
  <c r="AW4" i="7"/>
  <c r="AK23" i="7"/>
  <c r="J22" i="7"/>
  <c r="I22" i="7"/>
  <c r="AT17" i="7"/>
  <c r="AL21" i="7"/>
  <c r="I20" i="7"/>
  <c r="J20" i="7"/>
  <c r="AL22" i="7"/>
  <c r="V3" i="7"/>
  <c r="AF7" i="6"/>
  <c r="AT4" i="6"/>
  <c r="AT5" i="6"/>
  <c r="AT6" i="6"/>
  <c r="AT8" i="6"/>
  <c r="AT9" i="6"/>
  <c r="AT12" i="6"/>
  <c r="E7" i="6"/>
  <c r="J21" i="6" s="1"/>
  <c r="S4" i="6"/>
  <c r="S5" i="6"/>
  <c r="S6" i="6"/>
  <c r="E10" i="6"/>
  <c r="J22" i="6" s="1"/>
  <c r="S9" i="6"/>
  <c r="S12" i="6"/>
  <c r="AK21" i="6"/>
  <c r="AJ21" i="6"/>
  <c r="I22" i="6"/>
  <c r="E13" i="6"/>
  <c r="AF13" i="6"/>
  <c r="M16" i="6"/>
  <c r="Q16" i="6"/>
  <c r="AN16" i="6"/>
  <c r="AF16" i="6" s="1"/>
  <c r="AR16" i="6"/>
  <c r="S3" i="6"/>
  <c r="AT3" i="6"/>
  <c r="S8" i="6"/>
  <c r="AL10" i="6"/>
  <c r="AF10" i="6" s="1"/>
  <c r="AW3" i="6" s="1"/>
  <c r="S11" i="6"/>
  <c r="AT14" i="6"/>
  <c r="K16" i="6"/>
  <c r="E16" i="6" s="1"/>
  <c r="AT11" i="6"/>
  <c r="AX23" i="5"/>
  <c r="AI23" i="5"/>
  <c r="W23" i="5"/>
  <c r="H23" i="5"/>
  <c r="AI22" i="5"/>
  <c r="H22" i="5"/>
  <c r="AI21" i="5"/>
  <c r="H21" i="5"/>
  <c r="AI20" i="5"/>
  <c r="H20" i="5"/>
  <c r="AT15" i="5"/>
  <c r="AP15" i="5"/>
  <c r="AR15" i="5" s="1"/>
  <c r="AR16" i="5" s="1"/>
  <c r="AN15" i="5"/>
  <c r="AL15" i="5"/>
  <c r="S15" i="5"/>
  <c r="K15" i="5"/>
  <c r="AR14" i="5"/>
  <c r="AP14" i="5"/>
  <c r="AN14" i="5"/>
  <c r="AN16" i="5" s="1"/>
  <c r="AL14" i="5"/>
  <c r="AL16" i="5" s="1"/>
  <c r="Q14" i="5"/>
  <c r="O14" i="5"/>
  <c r="M14" i="5"/>
  <c r="K14" i="5"/>
  <c r="S14" i="5" s="1"/>
  <c r="AC13" i="5"/>
  <c r="AR12" i="5"/>
  <c r="AP12" i="5"/>
  <c r="AP13" i="5" s="1"/>
  <c r="AN12" i="5"/>
  <c r="AN13" i="5" s="1"/>
  <c r="AL12" i="5"/>
  <c r="Q12" i="5"/>
  <c r="Q13" i="5" s="1"/>
  <c r="O12" i="5"/>
  <c r="O13" i="5" s="1"/>
  <c r="M12" i="5"/>
  <c r="K12" i="5"/>
  <c r="AR11" i="5"/>
  <c r="AR13" i="5" s="1"/>
  <c r="AP11" i="5"/>
  <c r="AN11" i="5"/>
  <c r="AL11" i="5"/>
  <c r="AL13" i="5" s="1"/>
  <c r="Q11" i="5"/>
  <c r="O11" i="5"/>
  <c r="M11" i="5"/>
  <c r="M13" i="5" s="1"/>
  <c r="K11" i="5"/>
  <c r="K13" i="5" s="1"/>
  <c r="AR9" i="5"/>
  <c r="AR10" i="5" s="1"/>
  <c r="AP9" i="5"/>
  <c r="AN9" i="5"/>
  <c r="AL9" i="5"/>
  <c r="Q9" i="5"/>
  <c r="O9" i="5"/>
  <c r="M9" i="5"/>
  <c r="K9" i="5"/>
  <c r="AR8" i="5"/>
  <c r="AP8" i="5"/>
  <c r="AP10" i="5" s="1"/>
  <c r="AN8" i="5"/>
  <c r="AN10" i="5" s="1"/>
  <c r="AL8" i="5"/>
  <c r="Q8" i="5"/>
  <c r="Q10" i="5" s="1"/>
  <c r="O8" i="5"/>
  <c r="O10" i="5" s="1"/>
  <c r="M8" i="5"/>
  <c r="M10" i="5" s="1"/>
  <c r="K8" i="5"/>
  <c r="Q7" i="5"/>
  <c r="AR6" i="5"/>
  <c r="AP6" i="5"/>
  <c r="AN6" i="5"/>
  <c r="AL6" i="5"/>
  <c r="Q6" i="5"/>
  <c r="O6" i="5"/>
  <c r="M6" i="5"/>
  <c r="K6" i="5"/>
  <c r="S6" i="5" s="1"/>
  <c r="AR5" i="5"/>
  <c r="AT5" i="5" s="1"/>
  <c r="AP5" i="5"/>
  <c r="AN5" i="5"/>
  <c r="AL5" i="5"/>
  <c r="Q5" i="5"/>
  <c r="O5" i="5"/>
  <c r="M5" i="5"/>
  <c r="K5" i="5"/>
  <c r="S5" i="5" s="1"/>
  <c r="AR4" i="5"/>
  <c r="AP4" i="5"/>
  <c r="AN4" i="5"/>
  <c r="AL4" i="5"/>
  <c r="AT4" i="5" s="1"/>
  <c r="Q4" i="5"/>
  <c r="O4" i="5"/>
  <c r="M4" i="5"/>
  <c r="K4" i="5"/>
  <c r="S4" i="5" s="1"/>
  <c r="AR3" i="5"/>
  <c r="AR7" i="5" s="1"/>
  <c r="AP3" i="5"/>
  <c r="AP7" i="5" s="1"/>
  <c r="AN3" i="5"/>
  <c r="AN7" i="5" s="1"/>
  <c r="AL3" i="5"/>
  <c r="AL7" i="5" s="1"/>
  <c r="AF7" i="5" s="1"/>
  <c r="Q3" i="5"/>
  <c r="O3" i="5"/>
  <c r="O7" i="5" s="1"/>
  <c r="M3" i="5"/>
  <c r="K3" i="5"/>
  <c r="S3" i="5" s="1"/>
  <c r="K23" i="7" l="1"/>
  <c r="K22" i="7"/>
  <c r="AL23" i="7"/>
  <c r="K20" i="7"/>
  <c r="AL21" i="6"/>
  <c r="I21" i="6"/>
  <c r="K21" i="6" s="1"/>
  <c r="AJ23" i="6"/>
  <c r="AW4" i="6"/>
  <c r="AK23" i="6"/>
  <c r="J23" i="6"/>
  <c r="V4" i="6"/>
  <c r="I23" i="6"/>
  <c r="K23" i="6" s="1"/>
  <c r="S17" i="6"/>
  <c r="R26" i="6" s="1"/>
  <c r="J20" i="6"/>
  <c r="I20" i="6"/>
  <c r="V3" i="6"/>
  <c r="AK22" i="6"/>
  <c r="AJ22" i="6"/>
  <c r="AT17" i="6"/>
  <c r="AK20" i="6"/>
  <c r="AJ20" i="6"/>
  <c r="K22" i="6"/>
  <c r="AT6" i="5"/>
  <c r="AT9" i="5"/>
  <c r="AT12" i="5"/>
  <c r="AT8" i="5"/>
  <c r="S8" i="5"/>
  <c r="S12" i="5"/>
  <c r="M7" i="5"/>
  <c r="AL10" i="5"/>
  <c r="K10" i="5"/>
  <c r="E10" i="5" s="1"/>
  <c r="K16" i="5"/>
  <c r="AK21" i="5"/>
  <c r="AJ21" i="5"/>
  <c r="AL21" i="5" s="1"/>
  <c r="AF10" i="5"/>
  <c r="E13" i="5"/>
  <c r="AF13" i="5"/>
  <c r="S9" i="5"/>
  <c r="K7" i="5"/>
  <c r="AT11" i="5"/>
  <c r="AT3" i="5"/>
  <c r="M15" i="5"/>
  <c r="O15" i="5" s="1"/>
  <c r="Q15" i="5" s="1"/>
  <c r="Q16" i="5" s="1"/>
  <c r="AP16" i="5"/>
  <c r="AF16" i="5" s="1"/>
  <c r="S11" i="5"/>
  <c r="AT14" i="5"/>
  <c r="AX23" i="4"/>
  <c r="AI23" i="4"/>
  <c r="W23" i="4"/>
  <c r="H23" i="4"/>
  <c r="AI22" i="4"/>
  <c r="H22" i="4"/>
  <c r="AI21" i="4"/>
  <c r="H21" i="4"/>
  <c r="AI20" i="4"/>
  <c r="H20" i="4"/>
  <c r="AT15" i="4"/>
  <c r="AN15" i="4"/>
  <c r="AP15" i="4" s="1"/>
  <c r="AR15" i="4" s="1"/>
  <c r="AL15" i="4"/>
  <c r="S15" i="4"/>
  <c r="K15" i="4"/>
  <c r="M15" i="4" s="1"/>
  <c r="O15" i="4" s="1"/>
  <c r="Q15" i="4" s="1"/>
  <c r="AR14" i="4"/>
  <c r="AR16" i="4" s="1"/>
  <c r="AP14" i="4"/>
  <c r="AN14" i="4"/>
  <c r="AN16" i="4" s="1"/>
  <c r="AL14" i="4"/>
  <c r="AL16" i="4" s="1"/>
  <c r="Q14" i="4"/>
  <c r="Q16" i="4" s="1"/>
  <c r="O14" i="4"/>
  <c r="O16" i="4" s="1"/>
  <c r="M14" i="4"/>
  <c r="M16" i="4" s="1"/>
  <c r="K14" i="4"/>
  <c r="AC13" i="4"/>
  <c r="AR12" i="4"/>
  <c r="AP12" i="4"/>
  <c r="AN12" i="4"/>
  <c r="AL12" i="4"/>
  <c r="AT12" i="4" s="1"/>
  <c r="Q12" i="4"/>
  <c r="O12" i="4"/>
  <c r="M12" i="4"/>
  <c r="K12" i="4"/>
  <c r="S12" i="4" s="1"/>
  <c r="AR11" i="4"/>
  <c r="AR13" i="4" s="1"/>
  <c r="AP11" i="4"/>
  <c r="AP13" i="4" s="1"/>
  <c r="AN11" i="4"/>
  <c r="AN13" i="4" s="1"/>
  <c r="AL11" i="4"/>
  <c r="AL13" i="4" s="1"/>
  <c r="AF13" i="4" s="1"/>
  <c r="Q11" i="4"/>
  <c r="Q13" i="4" s="1"/>
  <c r="O11" i="4"/>
  <c r="O13" i="4" s="1"/>
  <c r="M11" i="4"/>
  <c r="M13" i="4" s="1"/>
  <c r="K11" i="4"/>
  <c r="K13" i="4" s="1"/>
  <c r="E13" i="4" s="1"/>
  <c r="AR9" i="4"/>
  <c r="AP9" i="4"/>
  <c r="AN9" i="4"/>
  <c r="AL9" i="4"/>
  <c r="AT9" i="4" s="1"/>
  <c r="Q9" i="4"/>
  <c r="O9" i="4"/>
  <c r="M9" i="4"/>
  <c r="K9" i="4"/>
  <c r="S9" i="4" s="1"/>
  <c r="AR8" i="4"/>
  <c r="AR10" i="4" s="1"/>
  <c r="AP8" i="4"/>
  <c r="AP10" i="4" s="1"/>
  <c r="AN8" i="4"/>
  <c r="AN10" i="4" s="1"/>
  <c r="AL8" i="4"/>
  <c r="AT8" i="4" s="1"/>
  <c r="Q8" i="4"/>
  <c r="Q10" i="4" s="1"/>
  <c r="O8" i="4"/>
  <c r="O10" i="4" s="1"/>
  <c r="M8" i="4"/>
  <c r="M10" i="4" s="1"/>
  <c r="K8" i="4"/>
  <c r="K10" i="4" s="1"/>
  <c r="E10" i="4" s="1"/>
  <c r="AR6" i="4"/>
  <c r="AP6" i="4"/>
  <c r="AN6" i="4"/>
  <c r="AL6" i="4"/>
  <c r="AT6" i="4" s="1"/>
  <c r="Q6" i="4"/>
  <c r="O6" i="4"/>
  <c r="M6" i="4"/>
  <c r="K6" i="4"/>
  <c r="S6" i="4" s="1"/>
  <c r="AR5" i="4"/>
  <c r="AP5" i="4"/>
  <c r="AN5" i="4"/>
  <c r="AL5" i="4"/>
  <c r="AT5" i="4" s="1"/>
  <c r="Q5" i="4"/>
  <c r="O5" i="4"/>
  <c r="M5" i="4"/>
  <c r="K5" i="4"/>
  <c r="S5" i="4" s="1"/>
  <c r="AR4" i="4"/>
  <c r="AP4" i="4"/>
  <c r="AN4" i="4"/>
  <c r="AL4" i="4"/>
  <c r="AT4" i="4" s="1"/>
  <c r="Q4" i="4"/>
  <c r="O4" i="4"/>
  <c r="M4" i="4"/>
  <c r="K4" i="4"/>
  <c r="S4" i="4" s="1"/>
  <c r="AR3" i="4"/>
  <c r="AR7" i="4" s="1"/>
  <c r="AP3" i="4"/>
  <c r="AP7" i="4" s="1"/>
  <c r="AN3" i="4"/>
  <c r="AN7" i="4" s="1"/>
  <c r="AL3" i="4"/>
  <c r="AL7" i="4" s="1"/>
  <c r="AF7" i="4" s="1"/>
  <c r="Q3" i="4"/>
  <c r="Q7" i="4" s="1"/>
  <c r="O3" i="4"/>
  <c r="O7" i="4" s="1"/>
  <c r="M3" i="4"/>
  <c r="M7" i="4" s="1"/>
  <c r="K3" i="4"/>
  <c r="K7" i="4" s="1"/>
  <c r="E7" i="4" s="1"/>
  <c r="AL22" i="6" l="1"/>
  <c r="AL20" i="6"/>
  <c r="K20" i="6"/>
  <c r="AL23" i="6"/>
  <c r="AW3" i="5"/>
  <c r="E7" i="5"/>
  <c r="S17" i="5"/>
  <c r="R26" i="5" s="1"/>
  <c r="AJ23" i="5"/>
  <c r="AW4" i="5"/>
  <c r="AK23" i="5"/>
  <c r="AT17" i="5"/>
  <c r="AK20" i="5"/>
  <c r="AJ20" i="5"/>
  <c r="J22" i="5"/>
  <c r="I22" i="5"/>
  <c r="J20" i="5"/>
  <c r="I20" i="5"/>
  <c r="K20" i="5" s="1"/>
  <c r="J21" i="5"/>
  <c r="I21" i="5"/>
  <c r="V3" i="5"/>
  <c r="O16" i="5"/>
  <c r="M16" i="5"/>
  <c r="E16" i="5" s="1"/>
  <c r="AK22" i="5"/>
  <c r="AJ22" i="5"/>
  <c r="S14" i="4"/>
  <c r="AK21" i="4"/>
  <c r="AJ21" i="4"/>
  <c r="J20" i="4"/>
  <c r="I20" i="4"/>
  <c r="J21" i="4"/>
  <c r="V3" i="4"/>
  <c r="I21" i="4"/>
  <c r="K21" i="4" s="1"/>
  <c r="J22" i="4"/>
  <c r="I22" i="4"/>
  <c r="K22" i="4" s="1"/>
  <c r="AK20" i="4"/>
  <c r="AJ20" i="4"/>
  <c r="AL20" i="4" s="1"/>
  <c r="AP16" i="4"/>
  <c r="AF16" i="4" s="1"/>
  <c r="S3" i="4"/>
  <c r="AT3" i="4"/>
  <c r="S8" i="4"/>
  <c r="AL10" i="4"/>
  <c r="AF10" i="4" s="1"/>
  <c r="S11" i="4"/>
  <c r="AT14" i="4"/>
  <c r="K16" i="4"/>
  <c r="E16" i="4" s="1"/>
  <c r="AT11" i="4"/>
  <c r="AX23" i="3"/>
  <c r="AI23" i="3"/>
  <c r="W23" i="3"/>
  <c r="H23" i="3"/>
  <c r="AI22" i="3"/>
  <c r="H22" i="3"/>
  <c r="AI21" i="3"/>
  <c r="H21" i="3"/>
  <c r="AI20" i="3"/>
  <c r="H20" i="3"/>
  <c r="AT15" i="3"/>
  <c r="AN15" i="3"/>
  <c r="AP15" i="3" s="1"/>
  <c r="AR15" i="3" s="1"/>
  <c r="AL15" i="3"/>
  <c r="S15" i="3"/>
  <c r="K15" i="3"/>
  <c r="M15" i="3" s="1"/>
  <c r="O15" i="3" s="1"/>
  <c r="Q15" i="3" s="1"/>
  <c r="AR14" i="3"/>
  <c r="AR16" i="3" s="1"/>
  <c r="AP14" i="3"/>
  <c r="AN14" i="3"/>
  <c r="AN16" i="3" s="1"/>
  <c r="AL14" i="3"/>
  <c r="AL16" i="3" s="1"/>
  <c r="Q14" i="3"/>
  <c r="Q16" i="3" s="1"/>
  <c r="O14" i="3"/>
  <c r="O16" i="3" s="1"/>
  <c r="M14" i="3"/>
  <c r="M16" i="3" s="1"/>
  <c r="K14" i="3"/>
  <c r="AC13" i="3"/>
  <c r="AR12" i="3"/>
  <c r="AP12" i="3"/>
  <c r="AN12" i="3"/>
  <c r="AL12" i="3"/>
  <c r="Q12" i="3"/>
  <c r="O12" i="3"/>
  <c r="M12" i="3"/>
  <c r="K12" i="3"/>
  <c r="S12" i="3" s="1"/>
  <c r="AR11" i="3"/>
  <c r="AR13" i="3" s="1"/>
  <c r="AP11" i="3"/>
  <c r="AP13" i="3" s="1"/>
  <c r="AN11" i="3"/>
  <c r="AN13" i="3" s="1"/>
  <c r="AL11" i="3"/>
  <c r="AL13" i="3" s="1"/>
  <c r="Q11" i="3"/>
  <c r="Q13" i="3" s="1"/>
  <c r="O11" i="3"/>
  <c r="O13" i="3" s="1"/>
  <c r="M11" i="3"/>
  <c r="M13" i="3" s="1"/>
  <c r="K11" i="3"/>
  <c r="K13" i="3" s="1"/>
  <c r="E13" i="3" s="1"/>
  <c r="AR9" i="3"/>
  <c r="AP9" i="3"/>
  <c r="AN9" i="3"/>
  <c r="AL9" i="3"/>
  <c r="Q9" i="3"/>
  <c r="O9" i="3"/>
  <c r="M9" i="3"/>
  <c r="K9" i="3"/>
  <c r="S9" i="3" s="1"/>
  <c r="AR8" i="3"/>
  <c r="AR10" i="3" s="1"/>
  <c r="AP8" i="3"/>
  <c r="AP10" i="3" s="1"/>
  <c r="AN8" i="3"/>
  <c r="AN10" i="3" s="1"/>
  <c r="AL8" i="3"/>
  <c r="Q8" i="3"/>
  <c r="Q10" i="3" s="1"/>
  <c r="O8" i="3"/>
  <c r="O10" i="3" s="1"/>
  <c r="M8" i="3"/>
  <c r="M10" i="3" s="1"/>
  <c r="K8" i="3"/>
  <c r="K10" i="3" s="1"/>
  <c r="E10" i="3" s="1"/>
  <c r="AR6" i="3"/>
  <c r="AP6" i="3"/>
  <c r="AN6" i="3"/>
  <c r="AL6" i="3"/>
  <c r="Q6" i="3"/>
  <c r="O6" i="3"/>
  <c r="M6" i="3"/>
  <c r="K6" i="3"/>
  <c r="S6" i="3" s="1"/>
  <c r="AR5" i="3"/>
  <c r="AP5" i="3"/>
  <c r="AN5" i="3"/>
  <c r="AL5" i="3"/>
  <c r="Q5" i="3"/>
  <c r="O5" i="3"/>
  <c r="M5" i="3"/>
  <c r="K5" i="3"/>
  <c r="S5" i="3" s="1"/>
  <c r="AR4" i="3"/>
  <c r="AP4" i="3"/>
  <c r="AN4" i="3"/>
  <c r="AL4" i="3"/>
  <c r="Q4" i="3"/>
  <c r="O4" i="3"/>
  <c r="M4" i="3"/>
  <c r="K4" i="3"/>
  <c r="S4" i="3" s="1"/>
  <c r="AR3" i="3"/>
  <c r="AR7" i="3" s="1"/>
  <c r="AP3" i="3"/>
  <c r="AP7" i="3" s="1"/>
  <c r="AN3" i="3"/>
  <c r="AN7" i="3" s="1"/>
  <c r="AL3" i="3"/>
  <c r="AL7" i="3" s="1"/>
  <c r="Q3" i="3"/>
  <c r="Q7" i="3" s="1"/>
  <c r="O3" i="3"/>
  <c r="O7" i="3" s="1"/>
  <c r="M3" i="3"/>
  <c r="M7" i="3" s="1"/>
  <c r="K3" i="3"/>
  <c r="K7" i="3" s="1"/>
  <c r="E7" i="3" s="1"/>
  <c r="AL20" i="5" l="1"/>
  <c r="K21" i="5"/>
  <c r="K22" i="5"/>
  <c r="J23" i="5"/>
  <c r="I23" i="5"/>
  <c r="K23" i="5" s="1"/>
  <c r="V4" i="5"/>
  <c r="AL22" i="5"/>
  <c r="AL23" i="5"/>
  <c r="AL21" i="4"/>
  <c r="AJ23" i="4"/>
  <c r="AW4" i="4"/>
  <c r="AK23" i="4"/>
  <c r="AK22" i="4"/>
  <c r="AJ22" i="4"/>
  <c r="AT17" i="4"/>
  <c r="AW3" i="4"/>
  <c r="J23" i="4"/>
  <c r="V4" i="4"/>
  <c r="I23" i="4"/>
  <c r="K23" i="4" s="1"/>
  <c r="S17" i="4"/>
  <c r="R26" i="4" s="1"/>
  <c r="K20" i="4"/>
  <c r="AF7" i="3"/>
  <c r="AT4" i="3"/>
  <c r="AT5" i="3"/>
  <c r="AT6" i="3"/>
  <c r="AT8" i="3"/>
  <c r="AT9" i="3"/>
  <c r="AF13" i="3"/>
  <c r="AK20" i="3" s="1"/>
  <c r="AT12" i="3"/>
  <c r="S14" i="3"/>
  <c r="AK21" i="3"/>
  <c r="AJ21" i="3"/>
  <c r="AJ20" i="3"/>
  <c r="J21" i="3"/>
  <c r="V3" i="3"/>
  <c r="I21" i="3"/>
  <c r="K21" i="3" s="1"/>
  <c r="J22" i="3"/>
  <c r="I22" i="3"/>
  <c r="K22" i="3" s="1"/>
  <c r="J20" i="3"/>
  <c r="I20" i="3"/>
  <c r="K20" i="3" s="1"/>
  <c r="AP16" i="3"/>
  <c r="AF16" i="3" s="1"/>
  <c r="S3" i="3"/>
  <c r="AT3" i="3"/>
  <c r="S8" i="3"/>
  <c r="AL10" i="3"/>
  <c r="AF10" i="3" s="1"/>
  <c r="AW3" i="3" s="1"/>
  <c r="S11" i="3"/>
  <c r="AT14" i="3"/>
  <c r="K16" i="3"/>
  <c r="E16" i="3" s="1"/>
  <c r="AT11" i="3"/>
  <c r="AX23" i="2"/>
  <c r="AI23" i="2"/>
  <c r="W23" i="2"/>
  <c r="H23" i="2"/>
  <c r="AI22" i="2"/>
  <c r="H22" i="2"/>
  <c r="AI21" i="2"/>
  <c r="H21" i="2"/>
  <c r="AI20" i="2"/>
  <c r="H20" i="2"/>
  <c r="AT15" i="2"/>
  <c r="AL15" i="2"/>
  <c r="AN15" i="2" s="1"/>
  <c r="AP15" i="2" s="1"/>
  <c r="AR15" i="2" s="1"/>
  <c r="S15" i="2"/>
  <c r="M15" i="2"/>
  <c r="O15" i="2" s="1"/>
  <c r="Q15" i="2" s="1"/>
  <c r="K15" i="2"/>
  <c r="AR14" i="2"/>
  <c r="AR16" i="2" s="1"/>
  <c r="AP14" i="2"/>
  <c r="AN14" i="2"/>
  <c r="AN16" i="2" s="1"/>
  <c r="AL14" i="2"/>
  <c r="AL16" i="2" s="1"/>
  <c r="Q14" i="2"/>
  <c r="Q16" i="2" s="1"/>
  <c r="O14" i="2"/>
  <c r="M14" i="2"/>
  <c r="M16" i="2" s="1"/>
  <c r="K14" i="2"/>
  <c r="AC13" i="2"/>
  <c r="AR12" i="2"/>
  <c r="AP12" i="2"/>
  <c r="AN12" i="2"/>
  <c r="AL12" i="2"/>
  <c r="AT12" i="2" s="1"/>
  <c r="Q12" i="2"/>
  <c r="O12" i="2"/>
  <c r="M12" i="2"/>
  <c r="K12" i="2"/>
  <c r="S12" i="2" s="1"/>
  <c r="AR11" i="2"/>
  <c r="AR13" i="2" s="1"/>
  <c r="AP11" i="2"/>
  <c r="AP13" i="2" s="1"/>
  <c r="AN11" i="2"/>
  <c r="AN13" i="2" s="1"/>
  <c r="AL11" i="2"/>
  <c r="AL13" i="2" s="1"/>
  <c r="AF13" i="2" s="1"/>
  <c r="Q11" i="2"/>
  <c r="Q13" i="2" s="1"/>
  <c r="O11" i="2"/>
  <c r="O13" i="2" s="1"/>
  <c r="M11" i="2"/>
  <c r="M13" i="2" s="1"/>
  <c r="K11" i="2"/>
  <c r="K13" i="2" s="1"/>
  <c r="E13" i="2" s="1"/>
  <c r="AR9" i="2"/>
  <c r="AP9" i="2"/>
  <c r="AN9" i="2"/>
  <c r="AL9" i="2"/>
  <c r="AT9" i="2" s="1"/>
  <c r="Q9" i="2"/>
  <c r="O9" i="2"/>
  <c r="M9" i="2"/>
  <c r="K9" i="2"/>
  <c r="S9" i="2" s="1"/>
  <c r="AR8" i="2"/>
  <c r="AR10" i="2" s="1"/>
  <c r="AP8" i="2"/>
  <c r="AP10" i="2" s="1"/>
  <c r="AN8" i="2"/>
  <c r="AN10" i="2" s="1"/>
  <c r="AL8" i="2"/>
  <c r="AT8" i="2" s="1"/>
  <c r="Q8" i="2"/>
  <c r="Q10" i="2" s="1"/>
  <c r="O8" i="2"/>
  <c r="O10" i="2" s="1"/>
  <c r="M8" i="2"/>
  <c r="M10" i="2" s="1"/>
  <c r="K8" i="2"/>
  <c r="K10" i="2" s="1"/>
  <c r="E10" i="2" s="1"/>
  <c r="AR6" i="2"/>
  <c r="AP6" i="2"/>
  <c r="AN6" i="2"/>
  <c r="AL6" i="2"/>
  <c r="AT6" i="2" s="1"/>
  <c r="Q6" i="2"/>
  <c r="O6" i="2"/>
  <c r="M6" i="2"/>
  <c r="K6" i="2"/>
  <c r="S6" i="2" s="1"/>
  <c r="AR5" i="2"/>
  <c r="AP5" i="2"/>
  <c r="AN5" i="2"/>
  <c r="AL5" i="2"/>
  <c r="AT5" i="2" s="1"/>
  <c r="Q5" i="2"/>
  <c r="O5" i="2"/>
  <c r="M5" i="2"/>
  <c r="K5" i="2"/>
  <c r="S5" i="2" s="1"/>
  <c r="AR4" i="2"/>
  <c r="AP4" i="2"/>
  <c r="AN4" i="2"/>
  <c r="AL4" i="2"/>
  <c r="AT4" i="2" s="1"/>
  <c r="Q4" i="2"/>
  <c r="O4" i="2"/>
  <c r="M4" i="2"/>
  <c r="K4" i="2"/>
  <c r="S4" i="2" s="1"/>
  <c r="AR3" i="2"/>
  <c r="AR7" i="2" s="1"/>
  <c r="AP3" i="2"/>
  <c r="AP7" i="2" s="1"/>
  <c r="AN3" i="2"/>
  <c r="AN7" i="2" s="1"/>
  <c r="AL3" i="2"/>
  <c r="AL7" i="2" s="1"/>
  <c r="AF7" i="2" s="1"/>
  <c r="Q3" i="2"/>
  <c r="Q7" i="2" s="1"/>
  <c r="O3" i="2"/>
  <c r="O7" i="2" s="1"/>
  <c r="M3" i="2"/>
  <c r="M7" i="2" s="1"/>
  <c r="K3" i="2"/>
  <c r="K7" i="2" s="1"/>
  <c r="E7" i="2" s="1"/>
  <c r="AL22" i="4" l="1"/>
  <c r="AL23" i="4"/>
  <c r="AL21" i="3"/>
  <c r="AJ23" i="3"/>
  <c r="AW4" i="3"/>
  <c r="AK23" i="3"/>
  <c r="AT17" i="3"/>
  <c r="AK22" i="3"/>
  <c r="AJ22" i="3"/>
  <c r="J23" i="3"/>
  <c r="V4" i="3"/>
  <c r="I23" i="3"/>
  <c r="K23" i="3" s="1"/>
  <c r="S17" i="3"/>
  <c r="R26" i="3" s="1"/>
  <c r="AL20" i="3"/>
  <c r="S14" i="2"/>
  <c r="J21" i="2"/>
  <c r="V3" i="2"/>
  <c r="I21" i="2"/>
  <c r="K21" i="2" s="1"/>
  <c r="AK21" i="2"/>
  <c r="AJ21" i="2"/>
  <c r="J22" i="2"/>
  <c r="I22" i="2"/>
  <c r="J20" i="2"/>
  <c r="I20" i="2"/>
  <c r="AK20" i="2"/>
  <c r="AJ20" i="2"/>
  <c r="O16" i="2"/>
  <c r="AF16" i="2"/>
  <c r="AP16" i="2"/>
  <c r="S3" i="2"/>
  <c r="AT3" i="2"/>
  <c r="S8" i="2"/>
  <c r="AL10" i="2"/>
  <c r="AF10" i="2" s="1"/>
  <c r="S11" i="2"/>
  <c r="AT14" i="2"/>
  <c r="K16" i="2"/>
  <c r="E16" i="2" s="1"/>
  <c r="AT11" i="2"/>
  <c r="AX23" i="1"/>
  <c r="AI23" i="1"/>
  <c r="W23" i="1"/>
  <c r="H23" i="1"/>
  <c r="AI22" i="1"/>
  <c r="H22" i="1"/>
  <c r="AI21" i="1"/>
  <c r="H21" i="1"/>
  <c r="AI20" i="1"/>
  <c r="H20" i="1"/>
  <c r="AT15" i="1"/>
  <c r="AL15" i="1"/>
  <c r="AN15" i="1" s="1"/>
  <c r="S15" i="1"/>
  <c r="M15" i="1"/>
  <c r="O15" i="1" s="1"/>
  <c r="K15" i="1"/>
  <c r="AR14" i="1"/>
  <c r="AP14" i="1"/>
  <c r="AN14" i="1"/>
  <c r="AL14" i="1"/>
  <c r="AL16" i="1" s="1"/>
  <c r="Q14" i="1"/>
  <c r="O14" i="1"/>
  <c r="M14" i="1"/>
  <c r="M16" i="1" s="1"/>
  <c r="K14" i="1"/>
  <c r="AC13" i="1"/>
  <c r="Q13" i="1"/>
  <c r="M13" i="1"/>
  <c r="AR12" i="1"/>
  <c r="AP12" i="1"/>
  <c r="AN12" i="1"/>
  <c r="AL12" i="1"/>
  <c r="AT12" i="1" s="1"/>
  <c r="Q12" i="1"/>
  <c r="O12" i="1"/>
  <c r="M12" i="1"/>
  <c r="K12" i="1"/>
  <c r="S12" i="1" s="1"/>
  <c r="AR11" i="1"/>
  <c r="AR13" i="1" s="1"/>
  <c r="AP11" i="1"/>
  <c r="AP13" i="1" s="1"/>
  <c r="AN11" i="1"/>
  <c r="AN13" i="1" s="1"/>
  <c r="AL11" i="1"/>
  <c r="AL13" i="1" s="1"/>
  <c r="Q11" i="1"/>
  <c r="O11" i="1"/>
  <c r="O13" i="1" s="1"/>
  <c r="M11" i="1"/>
  <c r="K11" i="1"/>
  <c r="K13" i="1" s="1"/>
  <c r="E13" i="1" s="1"/>
  <c r="AP10" i="1"/>
  <c r="Q10" i="1"/>
  <c r="AR9" i="1"/>
  <c r="AP9" i="1"/>
  <c r="AN9" i="1"/>
  <c r="AL9" i="1"/>
  <c r="AT9" i="1" s="1"/>
  <c r="Q9" i="1"/>
  <c r="O9" i="1"/>
  <c r="M9" i="1"/>
  <c r="K9" i="1"/>
  <c r="S9" i="1" s="1"/>
  <c r="AR8" i="1"/>
  <c r="AR10" i="1" s="1"/>
  <c r="AP8" i="1"/>
  <c r="AN8" i="1"/>
  <c r="AN10" i="1" s="1"/>
  <c r="AL8" i="1"/>
  <c r="AT8" i="1" s="1"/>
  <c r="Q8" i="1"/>
  <c r="O8" i="1"/>
  <c r="O10" i="1" s="1"/>
  <c r="M8" i="1"/>
  <c r="M10" i="1" s="1"/>
  <c r="K8" i="1"/>
  <c r="K10" i="1" s="1"/>
  <c r="Q7" i="1"/>
  <c r="AR6" i="1"/>
  <c r="AP6" i="1"/>
  <c r="AN6" i="1"/>
  <c r="AL6" i="1"/>
  <c r="Q6" i="1"/>
  <c r="O6" i="1"/>
  <c r="M6" i="1"/>
  <c r="K6" i="1"/>
  <c r="AR5" i="1"/>
  <c r="AP5" i="1"/>
  <c r="AN5" i="1"/>
  <c r="AL5" i="1"/>
  <c r="Q5" i="1"/>
  <c r="O5" i="1"/>
  <c r="M5" i="1"/>
  <c r="K5" i="1"/>
  <c r="AR4" i="1"/>
  <c r="AP4" i="1"/>
  <c r="AN4" i="1"/>
  <c r="AL4" i="1"/>
  <c r="Q4" i="1"/>
  <c r="O4" i="1"/>
  <c r="M4" i="1"/>
  <c r="K4" i="1"/>
  <c r="AR3" i="1"/>
  <c r="AR7" i="1" s="1"/>
  <c r="AP3" i="1"/>
  <c r="AP7" i="1" s="1"/>
  <c r="AN3" i="1"/>
  <c r="AN7" i="1" s="1"/>
  <c r="AL3" i="1"/>
  <c r="AL7" i="1" s="1"/>
  <c r="Q3" i="1"/>
  <c r="O3" i="1"/>
  <c r="O7" i="1" s="1"/>
  <c r="M3" i="1"/>
  <c r="M7" i="1" s="1"/>
  <c r="K3" i="1"/>
  <c r="AL22" i="3" l="1"/>
  <c r="AL23" i="3"/>
  <c r="AL20" i="2"/>
  <c r="AL21" i="2"/>
  <c r="K22" i="2"/>
  <c r="K20" i="2"/>
  <c r="J23" i="2"/>
  <c r="V4" i="2"/>
  <c r="I23" i="2"/>
  <c r="K23" i="2" s="1"/>
  <c r="S17" i="2"/>
  <c r="R26" i="2" s="1"/>
  <c r="AJ23" i="2"/>
  <c r="AW4" i="2"/>
  <c r="AK23" i="2"/>
  <c r="AK22" i="2"/>
  <c r="AJ22" i="2"/>
  <c r="AT17" i="2"/>
  <c r="AW3" i="2"/>
  <c r="AT6" i="1"/>
  <c r="AT5" i="1"/>
  <c r="AT4" i="1"/>
  <c r="S4" i="1"/>
  <c r="S5" i="1"/>
  <c r="S6" i="1"/>
  <c r="E10" i="1"/>
  <c r="J22" i="1" s="1"/>
  <c r="AL10" i="1"/>
  <c r="AF10" i="1" s="1"/>
  <c r="S14" i="1"/>
  <c r="K16" i="1"/>
  <c r="K7" i="1"/>
  <c r="E7" i="1" s="1"/>
  <c r="S3" i="1"/>
  <c r="AF7" i="1"/>
  <c r="I22" i="1"/>
  <c r="J20" i="1"/>
  <c r="I20" i="1"/>
  <c r="AF13" i="1"/>
  <c r="O16" i="1"/>
  <c r="Q15" i="1"/>
  <c r="Q16" i="1" s="1"/>
  <c r="AN16" i="1"/>
  <c r="AP15" i="1"/>
  <c r="AR15" i="1" s="1"/>
  <c r="AR16" i="1" s="1"/>
  <c r="AT3" i="1"/>
  <c r="S8" i="1"/>
  <c r="S11" i="1"/>
  <c r="AT14" i="1"/>
  <c r="AT11" i="1"/>
  <c r="AL22" i="2" l="1"/>
  <c r="AL23" i="2"/>
  <c r="K20" i="1"/>
  <c r="E16" i="1"/>
  <c r="J23" i="1" s="1"/>
  <c r="AT17" i="1"/>
  <c r="AK22" i="1"/>
  <c r="AJ22" i="1"/>
  <c r="S17" i="1"/>
  <c r="R26" i="1" s="1"/>
  <c r="AP16" i="1"/>
  <c r="AF16" i="1" s="1"/>
  <c r="AK20" i="1"/>
  <c r="AJ20" i="1"/>
  <c r="K22" i="1"/>
  <c r="AK21" i="1"/>
  <c r="AW3" i="1"/>
  <c r="AJ21" i="1"/>
  <c r="AL21" i="1" s="1"/>
  <c r="J21" i="1"/>
  <c r="V3" i="1"/>
  <c r="I21" i="1"/>
  <c r="K21" i="1" s="1"/>
  <c r="V4" i="1" l="1"/>
  <c r="I23" i="1"/>
  <c r="K23" i="1" s="1"/>
  <c r="AJ23" i="1"/>
  <c r="AW4" i="1"/>
  <c r="AK23" i="1"/>
  <c r="AL20" i="1"/>
  <c r="AL22" i="1"/>
  <c r="AL23" i="1" l="1"/>
</calcChain>
</file>

<file path=xl/sharedStrings.xml><?xml version="1.0" encoding="utf-8"?>
<sst xmlns="http://schemas.openxmlformats.org/spreadsheetml/2006/main" count="3229" uniqueCount="65">
  <si>
    <t>02UI</t>
  </si>
  <si>
    <t>OPENING METER</t>
  </si>
  <si>
    <t>CLOSING METER</t>
  </si>
  <si>
    <t>SALES</t>
  </si>
  <si>
    <t>PRICE</t>
  </si>
  <si>
    <t>AMOUNT</t>
  </si>
  <si>
    <t>BANK LODGMENT</t>
  </si>
  <si>
    <t>IMPREST</t>
  </si>
  <si>
    <t>PMS1</t>
  </si>
  <si>
    <t>PMS</t>
  </si>
  <si>
    <t>BANK NAME</t>
  </si>
  <si>
    <t>PMS 2</t>
  </si>
  <si>
    <t>AGO</t>
  </si>
  <si>
    <t>AMOUNT DEPOSITED</t>
  </si>
  <si>
    <t>PMS3</t>
  </si>
  <si>
    <t>DATE</t>
  </si>
  <si>
    <t>PMS 4</t>
  </si>
  <si>
    <t>PRODUCTS RECEIVED</t>
  </si>
  <si>
    <t>PAYMENT STATUS</t>
  </si>
  <si>
    <t>TOTAL PMS 2</t>
  </si>
  <si>
    <t>PMS 1</t>
  </si>
  <si>
    <t>PMS5</t>
  </si>
  <si>
    <t>PMS 3</t>
  </si>
  <si>
    <t>TOTAL PMS 3</t>
  </si>
  <si>
    <t>AGO 1</t>
  </si>
  <si>
    <t>PMS 6</t>
  </si>
  <si>
    <t>PMS 7</t>
  </si>
  <si>
    <t>EXPENSES</t>
  </si>
  <si>
    <t>TOTAL PMS 1</t>
  </si>
  <si>
    <t>TOTAL</t>
  </si>
  <si>
    <t>TOTAL AGO 1</t>
  </si>
  <si>
    <t>TANK</t>
  </si>
  <si>
    <t>OPENNG DIPPG</t>
  </si>
  <si>
    <t>CLOSNG DIPPG</t>
  </si>
  <si>
    <t>ACTUAL GEAR</t>
  </si>
  <si>
    <t>EXPCTD GEAR</t>
  </si>
  <si>
    <t>DIFFERENCE</t>
  </si>
  <si>
    <t>PMS2</t>
  </si>
  <si>
    <t>AGO1</t>
  </si>
  <si>
    <t>OPAY 226</t>
  </si>
  <si>
    <t>OPAY 225</t>
  </si>
  <si>
    <t>ZENITH POS</t>
  </si>
  <si>
    <t>cash/transfer</t>
  </si>
  <si>
    <t xml:space="preserve"> POS  Fidelity</t>
  </si>
  <si>
    <t>POS 63</t>
  </si>
  <si>
    <t>pos 64</t>
  </si>
  <si>
    <t>POS 65</t>
  </si>
  <si>
    <t>POS 66</t>
  </si>
  <si>
    <t>POS 194</t>
  </si>
  <si>
    <t>POS 196</t>
  </si>
  <si>
    <t>POS 204</t>
  </si>
  <si>
    <t>POS 206</t>
  </si>
  <si>
    <t>POS 207</t>
  </si>
  <si>
    <t>POS 208</t>
  </si>
  <si>
    <t>ADD UP</t>
  </si>
  <si>
    <t>AVAILABLE CASH</t>
  </si>
  <si>
    <t>LESS RTT AGO PUMP (150L)</t>
  </si>
  <si>
    <t>LESS RTT PMS PUMP 1(31.75L)@1289</t>
  </si>
  <si>
    <t>LESS RTT PMS PUMP 6&amp;7(271.77L)@1289</t>
  </si>
  <si>
    <t>ALL RTT DONE BY ENGR. DEJI</t>
  </si>
  <si>
    <t>LESS RTT AGO (115.18L)</t>
  </si>
  <si>
    <t>LESS RTTPMS1&amp;2 (151.82L)</t>
  </si>
  <si>
    <t>LESS RTT PMS 3&amp;4 (254.91L)</t>
  </si>
  <si>
    <t>LESS RTT PMS 5(106.92L)</t>
  </si>
  <si>
    <t>LESS RTT PMS 6&amp;7 (158.9L)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</si>
</sst>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14" fontId="3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14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>
      <alignment horizontal="center"/>
    </xf>
    <xf numFmtId="4" fontId="9" fillId="0" borderId="0" xfId="0" applyNumberFormat="1" applyFont="1" applyProtection="1"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center"/>
      <protection locked="0"/>
    </xf>
    <xf numFmtId="43" fontId="0" fillId="0" borderId="0" xfId="1" applyFont="1" applyProtection="1">
      <protection locked="0"/>
    </xf>
    <xf numFmtId="4" fontId="11" fillId="0" borderId="0" xfId="0" applyNumberFormat="1" applyFont="1" applyAlignment="1" applyProtection="1">
      <alignment horizontal="left"/>
      <protection locked="0"/>
    </xf>
    <xf numFmtId="43" fontId="0" fillId="0" borderId="0" xfId="1" applyFont="1"/>
    <xf numFmtId="14" fontId="10" fillId="0" borderId="1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4" fillId="0" borderId="0" xfId="0" applyFont="1" applyAlignment="1">
      <alignment horizontal="center"/>
    </xf>
    <xf numFmtId="3" fontId="6" fillId="0" borderId="0" xfId="0" applyNumberFormat="1" applyFont="1" applyAlignment="1" applyProtection="1">
      <alignment horizontal="right"/>
      <protection locked="0"/>
    </xf>
    <xf numFmtId="0" fontId="13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14" fillId="0" borderId="0" xfId="0" applyFont="1" applyProtection="1">
      <protection locked="0"/>
    </xf>
    <xf numFmtId="4" fontId="5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43" fontId="2" fillId="0" borderId="0" xfId="1" applyFont="1" applyProtection="1">
      <protection locked="0"/>
    </xf>
    <xf numFmtId="43" fontId="5" fillId="0" borderId="0" xfId="1" applyFont="1" applyProtection="1">
      <protection locked="0"/>
    </xf>
    <xf numFmtId="0" fontId="5" fillId="0" borderId="0" xfId="0" applyFont="1" applyAlignment="1" applyProtection="1">
      <protection locked="0"/>
    </xf>
    <xf numFmtId="43" fontId="8" fillId="0" borderId="0" xfId="1" applyFont="1" applyBorder="1" applyAlignment="1" applyProtection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15" fillId="0" borderId="0" xfId="0" applyFont="1" applyAlignment="1">
      <alignment horizontal="left"/>
    </xf>
    <xf numFmtId="3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NumberFormat="1" applyFont="1" applyAlignment="1">
      <alignment horizontal="left"/>
    </xf>
    <xf numFmtId="0" fontId="16" fillId="0" borderId="0" xfId="0" applyFont="1"/>
    <xf numFmtId="4" fontId="6" fillId="0" borderId="0" xfId="0" applyNumberFormat="1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4" fontId="4" fillId="0" borderId="0" xfId="0" applyNumberFormat="1" applyFont="1" applyProtection="1">
      <protection locked="0"/>
    </xf>
    <xf numFmtId="4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4" fontId="6" fillId="0" borderId="0" xfId="0" applyNumberFormat="1" applyFont="1" applyAlignment="1" applyProtection="1">
      <alignment horizontal="left"/>
      <protection locked="0"/>
    </xf>
    <xf numFmtId="43" fontId="8" fillId="0" borderId="0" xfId="0" applyNumberFormat="1" applyFont="1" applyAlignment="1" applyProtection="1">
      <alignment horizontal="left"/>
      <protection locked="0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L7" workbookViewId="0">
      <selection activeCell="L29" sqref="L29"/>
    </sheetView>
  </sheetViews>
  <sheetFormatPr defaultRowHeight="15" x14ac:dyDescent="0.25"/>
  <cols>
    <col min="2" max="2" width="10" bestFit="1" customWidth="1"/>
    <col min="5" max="5" width="10" bestFit="1" customWidth="1"/>
    <col min="10" max="10" width="10" bestFit="1" customWidth="1"/>
    <col min="17" max="17" width="10" bestFit="1" customWidth="1"/>
    <col min="18" max="18" width="12.28515625" bestFit="1" customWidth="1"/>
  </cols>
  <sheetData>
    <row r="1" spans="2:50" x14ac:dyDescent="0.25">
      <c r="B1" s="1">
        <v>46266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416704.72</v>
      </c>
      <c r="G3" s="7">
        <v>417636.34</v>
      </c>
      <c r="H3" s="7">
        <v>417636.34</v>
      </c>
      <c r="I3" s="7"/>
      <c r="J3" s="7"/>
      <c r="K3" s="12">
        <f>G3-F3</f>
        <v>931.62000000005355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1200858.1800000691</v>
      </c>
      <c r="T3" s="7"/>
      <c r="U3" s="3" t="s">
        <v>9</v>
      </c>
      <c r="V3" s="13">
        <f>E7+E10+E13</f>
        <v>5993.2900000000955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416738</v>
      </c>
      <c r="AH3" s="7">
        <v>417669</v>
      </c>
      <c r="AI3" s="7">
        <v>417669</v>
      </c>
      <c r="AJ3" s="7"/>
      <c r="AK3" s="7"/>
      <c r="AL3" s="12">
        <f>AH3-AG3</f>
        <v>931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1139544</v>
      </c>
      <c r="AU3" s="7"/>
      <c r="AV3" s="3" t="s">
        <v>9</v>
      </c>
      <c r="AW3" s="13">
        <f>AF7+AF10+AF13</f>
        <v>5991</v>
      </c>
      <c r="AX3" s="3"/>
    </row>
    <row r="4" spans="2:50" x14ac:dyDescent="0.25">
      <c r="D4" s="3"/>
      <c r="E4" s="3" t="s">
        <v>11</v>
      </c>
      <c r="F4" s="7">
        <v>312442.25</v>
      </c>
      <c r="G4" s="7">
        <v>313225.96999999997</v>
      </c>
      <c r="H4" s="7">
        <v>313225.96999999997</v>
      </c>
      <c r="I4" s="7"/>
      <c r="J4" s="7"/>
      <c r="K4" s="12">
        <f t="shared" ref="K4:K6" si="0">G4-F4</f>
        <v>783.71999999997206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1010215.079999964</v>
      </c>
      <c r="T4" s="7"/>
      <c r="U4" s="3" t="s">
        <v>12</v>
      </c>
      <c r="V4" s="13">
        <f>E16</f>
        <v>987.01000000000931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312480</v>
      </c>
      <c r="AH4" s="7">
        <v>313263</v>
      </c>
      <c r="AI4" s="7">
        <v>313263</v>
      </c>
      <c r="AJ4" s="7"/>
      <c r="AK4" s="7"/>
      <c r="AL4" s="12">
        <f t="shared" ref="AL4:AL6" si="4">AH4-AG4</f>
        <v>783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958392</v>
      </c>
      <c r="AU4" s="7"/>
      <c r="AV4" s="3" t="s">
        <v>12</v>
      </c>
      <c r="AW4" s="13">
        <f>AF16</f>
        <v>987</v>
      </c>
      <c r="AX4" s="3"/>
    </row>
    <row r="5" spans="2:50" x14ac:dyDescent="0.25">
      <c r="D5" s="4"/>
      <c r="E5" s="3" t="s">
        <v>14</v>
      </c>
      <c r="F5" s="7">
        <v>320990.69</v>
      </c>
      <c r="G5" s="7">
        <v>321849.34999999998</v>
      </c>
      <c r="H5" s="7">
        <v>321849.34999999998</v>
      </c>
      <c r="I5" s="7"/>
      <c r="J5" s="7"/>
      <c r="K5" s="12">
        <f t="shared" si="0"/>
        <v>858.65999999997439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1106812.7399999669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321030</v>
      </c>
      <c r="AH5" s="7">
        <v>321888</v>
      </c>
      <c r="AI5" s="7">
        <v>321888</v>
      </c>
      <c r="AJ5" s="7"/>
      <c r="AK5" s="7"/>
      <c r="AL5" s="12">
        <f t="shared" si="4"/>
        <v>858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1050192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503604.35</v>
      </c>
      <c r="G6" s="7">
        <v>504429.51</v>
      </c>
      <c r="H6" s="7">
        <v>504429.51</v>
      </c>
      <c r="I6" s="7"/>
      <c r="J6" s="7"/>
      <c r="K6" s="12">
        <f t="shared" si="0"/>
        <v>825.1600000000326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1063631.2400000421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503643</v>
      </c>
      <c r="AH6" s="7">
        <v>504468</v>
      </c>
      <c r="AI6" s="7">
        <v>504468</v>
      </c>
      <c r="AJ6" s="7"/>
      <c r="AK6" s="7"/>
      <c r="AL6" s="12">
        <f t="shared" si="4"/>
        <v>825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1009800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3399.1600000000326</v>
      </c>
      <c r="F7" s="3"/>
      <c r="G7" s="3"/>
      <c r="H7" s="3"/>
      <c r="I7" s="3"/>
      <c r="J7" s="3"/>
      <c r="K7" s="22">
        <f>SUM(K3:K6)</f>
        <v>3399.1600000000326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3397</v>
      </c>
      <c r="AG7" s="3"/>
      <c r="AH7" s="3"/>
      <c r="AI7" s="3"/>
      <c r="AJ7" s="3"/>
      <c r="AK7" s="3"/>
      <c r="AL7" s="22">
        <f>SUM(AL3:AL6)</f>
        <v>3397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363416.24</v>
      </c>
      <c r="G8" s="7">
        <v>364565.75</v>
      </c>
      <c r="H8" s="7">
        <v>364565.75</v>
      </c>
      <c r="I8" s="7"/>
      <c r="J8" s="7"/>
      <c r="K8" s="12">
        <f t="shared" ref="K8:K9" si="9">G8-F8</f>
        <v>1149.5100000000093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1481718.390000012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477794</v>
      </c>
      <c r="AH8" s="7">
        <v>478943</v>
      </c>
      <c r="AI8" s="7">
        <v>478943</v>
      </c>
      <c r="AJ8" s="7"/>
      <c r="AK8" s="7"/>
      <c r="AL8" s="12">
        <f t="shared" ref="AL8:AL9" si="12">AH8-AG8</f>
        <v>1149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1406376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1149.5100000000093</v>
      </c>
      <c r="F10" s="3"/>
      <c r="G10" s="3"/>
      <c r="H10" s="3"/>
      <c r="I10" s="3"/>
      <c r="J10" s="3"/>
      <c r="K10" s="22">
        <f>SUM(K8:K9)</f>
        <v>1149.5100000000093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1149</v>
      </c>
      <c r="AG10" s="3"/>
      <c r="AH10" s="3"/>
      <c r="AI10" s="3"/>
      <c r="AJ10" s="3"/>
      <c r="AK10" s="3"/>
      <c r="AL10" s="22">
        <f>SUM(AL8:AL9)</f>
        <v>1149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473442.66</v>
      </c>
      <c r="G11" s="7">
        <v>474169.01</v>
      </c>
      <c r="H11" s="7">
        <v>474169.01</v>
      </c>
      <c r="I11" s="7"/>
      <c r="J11" s="7"/>
      <c r="K11" s="12">
        <f t="shared" ref="K11:K14" si="17">G11-F11</f>
        <v>726.35000000003492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936265.15000004508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473480</v>
      </c>
      <c r="AH11" s="7">
        <v>474206</v>
      </c>
      <c r="AI11" s="7">
        <v>474206</v>
      </c>
      <c r="AJ11" s="7"/>
      <c r="AK11" s="7"/>
      <c r="AL11" s="12">
        <f t="shared" ref="AL11:AL12" si="20">AH11-AG11</f>
        <v>726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888624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536808.36</v>
      </c>
      <c r="G12" s="7">
        <v>537526.63</v>
      </c>
      <c r="H12" s="7">
        <v>537526.63</v>
      </c>
      <c r="I12" s="7"/>
      <c r="J12" s="7"/>
      <c r="K12" s="12">
        <f t="shared" si="17"/>
        <v>718.27000000001863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925850.03000002401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536848</v>
      </c>
      <c r="AH12" s="7">
        <v>537567</v>
      </c>
      <c r="AI12" s="7">
        <v>537567</v>
      </c>
      <c r="AJ12" s="7"/>
      <c r="AK12" s="7"/>
      <c r="AL12" s="12">
        <f t="shared" si="20"/>
        <v>719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880056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1444.6200000000536</v>
      </c>
      <c r="F13" s="3"/>
      <c r="G13" s="3"/>
      <c r="H13" s="3"/>
      <c r="I13" s="3"/>
      <c r="J13" s="3"/>
      <c r="K13" s="22">
        <f>SUM(K11:K12)</f>
        <v>1444.6200000000536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1445</v>
      </c>
      <c r="AG13" s="3"/>
      <c r="AH13" s="3"/>
      <c r="AI13" s="3"/>
      <c r="AJ13" s="3"/>
      <c r="AK13" s="3"/>
      <c r="AL13" s="22">
        <f>SUM(AL11:AL12)</f>
        <v>1445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455301.47</v>
      </c>
      <c r="G14" s="7">
        <v>456288.48</v>
      </c>
      <c r="H14" s="7">
        <v>456288.48</v>
      </c>
      <c r="I14" s="7"/>
      <c r="J14" s="7"/>
      <c r="K14" s="12">
        <f t="shared" si="17"/>
        <v>987.01000000000931</v>
      </c>
      <c r="L14" s="7">
        <v>1769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1746020.6900000165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455331</v>
      </c>
      <c r="AH14" s="7">
        <v>456318</v>
      </c>
      <c r="AI14" s="7">
        <v>456318</v>
      </c>
      <c r="AJ14" s="7"/>
      <c r="AK14" s="7"/>
      <c r="AL14" s="12">
        <f t="shared" ref="AL14" si="24">AH14-AG14</f>
        <v>987</v>
      </c>
      <c r="AM14" s="7">
        <v>1709</v>
      </c>
      <c r="AN14" s="12">
        <f>AI14-AH14</f>
        <v>0</v>
      </c>
      <c r="AO14" s="7">
        <v>1769</v>
      </c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1686783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987.01000000000931</v>
      </c>
      <c r="F16" s="3"/>
      <c r="G16" s="3"/>
      <c r="H16" s="3"/>
      <c r="I16" s="7"/>
      <c r="K16" s="22">
        <f>SUM(K14:K15)</f>
        <v>987.01000000000931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987</v>
      </c>
      <c r="AG16" s="32"/>
      <c r="AH16" s="32"/>
      <c r="AI16" s="32"/>
      <c r="AJ16" s="7"/>
      <c r="AL16" s="22">
        <f>SUM(AL14:AL15)</f>
        <v>987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9471371.5000001397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9019767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6750</v>
      </c>
      <c r="G20" s="35">
        <v>5350</v>
      </c>
      <c r="H20" s="36">
        <f>F20+V7-G20</f>
        <v>1400</v>
      </c>
      <c r="I20" s="36">
        <f>E13-H20</f>
        <v>44.620000000053551</v>
      </c>
      <c r="J20" s="37">
        <f>E13*0.085</f>
        <v>122.79270000000456</v>
      </c>
      <c r="K20" s="38">
        <f>I20-J20</f>
        <v>-78.172699999951007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6750</v>
      </c>
      <c r="AH20" s="35">
        <v>5350</v>
      </c>
      <c r="AI20" s="36">
        <f>AG20+AW7-AH20</f>
        <v>1400</v>
      </c>
      <c r="AJ20" s="36">
        <f>AF13-AI20</f>
        <v>45</v>
      </c>
      <c r="AK20" s="37">
        <f>AF13*0.085</f>
        <v>122.825</v>
      </c>
      <c r="AL20" s="38">
        <f>AJ20-AK20</f>
        <v>-77.825000000000003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3950</v>
      </c>
      <c r="G21" s="35">
        <v>700</v>
      </c>
      <c r="H21" s="36">
        <f>F21+V8-G21</f>
        <v>3250</v>
      </c>
      <c r="I21" s="36">
        <f>E7-H21</f>
        <v>149.1600000000326</v>
      </c>
      <c r="J21" s="37">
        <f>E7*0.085</f>
        <v>288.9286000000028</v>
      </c>
      <c r="K21" s="38">
        <f>I21-J21</f>
        <v>-139.76859999997021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3950</v>
      </c>
      <c r="AH21" s="35">
        <v>700</v>
      </c>
      <c r="AI21" s="36">
        <f>AG21+AW8-AH21</f>
        <v>3250</v>
      </c>
      <c r="AJ21" s="36">
        <f>AF7-AI21</f>
        <v>147</v>
      </c>
      <c r="AK21" s="37">
        <f>AF7*0.085</f>
        <v>288.745</v>
      </c>
      <c r="AL21" s="38">
        <f>AJ21-AK21</f>
        <v>-141.745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2650</v>
      </c>
      <c r="G22" s="35">
        <v>1500</v>
      </c>
      <c r="H22" s="36">
        <f>F22+V9-G22</f>
        <v>1150</v>
      </c>
      <c r="I22" s="36">
        <f>E10-H22</f>
        <v>-0.48999999999068677</v>
      </c>
      <c r="J22" s="37">
        <f>E10*0.085</f>
        <v>97.708350000000792</v>
      </c>
      <c r="K22" s="38">
        <f>I22-J22</f>
        <v>-98.198349999991478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2650</v>
      </c>
      <c r="AH22" s="35">
        <v>1500</v>
      </c>
      <c r="AI22" s="36">
        <f>AG22+AW9-AH22</f>
        <v>1150</v>
      </c>
      <c r="AJ22" s="36">
        <f>AF10-AI22</f>
        <v>-1</v>
      </c>
      <c r="AK22" s="37">
        <f>AF10*0.085</f>
        <v>97.665000000000006</v>
      </c>
      <c r="AL22" s="38">
        <f>AJ22-AK22</f>
        <v>-98.665000000000006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11400</v>
      </c>
      <c r="G23" s="35">
        <v>10500</v>
      </c>
      <c r="H23" s="36">
        <f>F23+V10-G23</f>
        <v>900</v>
      </c>
      <c r="I23" s="36">
        <f>E16-H23</f>
        <v>87.010000000009313</v>
      </c>
      <c r="J23" s="37">
        <f>E16*0.085</f>
        <v>83.895850000000792</v>
      </c>
      <c r="K23" s="38">
        <f>I23-J23</f>
        <v>3.1141500000085216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11400</v>
      </c>
      <c r="AH23" s="35">
        <v>10500</v>
      </c>
      <c r="AI23" s="36">
        <f>AG23+AW10-AH23</f>
        <v>900</v>
      </c>
      <c r="AJ23" s="36">
        <f>AF16-AI23</f>
        <v>87</v>
      </c>
      <c r="AK23" s="37">
        <f>AF16*0.085</f>
        <v>83.89500000000001</v>
      </c>
      <c r="AL23" s="38">
        <f>AJ23-AK23</f>
        <v>3.1049999999999898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846150</v>
      </c>
      <c r="C26" s="46">
        <v>450000</v>
      </c>
      <c r="D26" s="17">
        <v>578467.61</v>
      </c>
      <c r="E26" s="17">
        <v>3165800</v>
      </c>
      <c r="F26" s="17">
        <v>0</v>
      </c>
      <c r="G26" s="46">
        <v>0</v>
      </c>
      <c r="H26" s="46">
        <v>216454</v>
      </c>
      <c r="I26" s="46">
        <v>103070</v>
      </c>
      <c r="J26" s="46">
        <v>4504295.25</v>
      </c>
      <c r="K26" s="46">
        <v>646825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9013260.6799999997</v>
      </c>
      <c r="R26" s="47">
        <f>SUM(S17-W23-B26-C26-D26-E26-F26-G26-H26-I26-J26-K26-L26-M26-N26-O26-P26+Q26)</f>
        <v>7973570.3200001391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578467.61</v>
      </c>
      <c r="AF26" s="17">
        <v>3165800</v>
      </c>
      <c r="AG26" s="17">
        <v>0</v>
      </c>
      <c r="AH26" s="46">
        <v>0</v>
      </c>
      <c r="AI26" s="46">
        <v>216454</v>
      </c>
      <c r="AJ26" s="46">
        <v>103070</v>
      </c>
      <c r="AK26" s="46">
        <v>4504295.25</v>
      </c>
      <c r="AL26" s="46">
        <v>646825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9013260.6799999997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L7" workbookViewId="0">
      <selection activeCell="M29" sqref="M29"/>
    </sheetView>
  </sheetViews>
  <sheetFormatPr defaultRowHeight="15" x14ac:dyDescent="0.25"/>
  <cols>
    <col min="5" max="5" width="10" bestFit="1" customWidth="1"/>
    <col min="9" max="9" width="10" bestFit="1" customWidth="1"/>
    <col min="17" max="17" width="10" bestFit="1" customWidth="1"/>
    <col min="18" max="18" width="12.28515625" bestFit="1" customWidth="1"/>
  </cols>
  <sheetData>
    <row r="1" spans="2:50" x14ac:dyDescent="0.25">
      <c r="B1" s="1">
        <v>46267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417636.34</v>
      </c>
      <c r="G3" s="7">
        <v>418185.02</v>
      </c>
      <c r="H3" s="7">
        <v>418185.02</v>
      </c>
      <c r="I3" s="7"/>
      <c r="J3" s="7"/>
      <c r="K3" s="12">
        <f>G3-F3</f>
        <v>548.67999999999302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707248.51999999094</v>
      </c>
      <c r="T3" s="7"/>
      <c r="U3" s="3" t="s">
        <v>9</v>
      </c>
      <c r="V3" s="13">
        <f>E7+E10+E13</f>
        <v>5773.9500000000698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417669</v>
      </c>
      <c r="AH3" s="7">
        <v>418218</v>
      </c>
      <c r="AI3" s="7">
        <v>418218</v>
      </c>
      <c r="AJ3" s="7"/>
      <c r="AK3" s="7"/>
      <c r="AL3" s="12">
        <f>AH3-AG3</f>
        <v>549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671976</v>
      </c>
      <c r="AU3" s="7"/>
      <c r="AV3" s="3" t="s">
        <v>9</v>
      </c>
      <c r="AW3" s="13">
        <f>AF7+AF10+AF13</f>
        <v>5774</v>
      </c>
      <c r="AX3" s="3"/>
    </row>
    <row r="4" spans="2:50" x14ac:dyDescent="0.25">
      <c r="D4" s="3"/>
      <c r="E4" s="3" t="s">
        <v>11</v>
      </c>
      <c r="F4" s="7">
        <v>313225.96999999997</v>
      </c>
      <c r="G4" s="7">
        <v>313407.03000000003</v>
      </c>
      <c r="H4" s="7">
        <v>313407.03000000003</v>
      </c>
      <c r="I4" s="7"/>
      <c r="J4" s="7"/>
      <c r="K4" s="12">
        <f t="shared" ref="K4:K6" si="0">G4-F4</f>
        <v>181.06000000005588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233386.34000007203</v>
      </c>
      <c r="T4" s="7"/>
      <c r="U4" s="3" t="s">
        <v>12</v>
      </c>
      <c r="V4" s="13">
        <f>E16</f>
        <v>1092.429999999993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313263</v>
      </c>
      <c r="AH4" s="7">
        <v>313444</v>
      </c>
      <c r="AI4" s="7">
        <v>313444</v>
      </c>
      <c r="AJ4" s="7"/>
      <c r="AK4" s="7"/>
      <c r="AL4" s="12">
        <f t="shared" ref="AL4:AL6" si="4">AH4-AG4</f>
        <v>181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221544</v>
      </c>
      <c r="AU4" s="7"/>
      <c r="AV4" s="3" t="s">
        <v>12</v>
      </c>
      <c r="AW4" s="13">
        <f>AF16</f>
        <v>1092</v>
      </c>
      <c r="AX4" s="3"/>
    </row>
    <row r="5" spans="2:50" x14ac:dyDescent="0.25">
      <c r="D5" s="4"/>
      <c r="E5" s="3" t="s">
        <v>14</v>
      </c>
      <c r="F5" s="7">
        <v>321849.34999999998</v>
      </c>
      <c r="G5" s="7">
        <v>321849.34999999998</v>
      </c>
      <c r="H5" s="7">
        <v>321849.34999999998</v>
      </c>
      <c r="I5" s="7"/>
      <c r="J5" s="7"/>
      <c r="K5" s="12">
        <f t="shared" si="0"/>
        <v>0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0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321888</v>
      </c>
      <c r="AH5" s="7">
        <v>321888</v>
      </c>
      <c r="AI5" s="7">
        <v>321888</v>
      </c>
      <c r="AJ5" s="7"/>
      <c r="AK5" s="7"/>
      <c r="AL5" s="12">
        <f t="shared" si="4"/>
        <v>0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504429.51</v>
      </c>
      <c r="G6" s="7">
        <v>504429.51</v>
      </c>
      <c r="H6" s="7">
        <v>504429.51</v>
      </c>
      <c r="I6" s="7"/>
      <c r="J6" s="7"/>
      <c r="K6" s="12">
        <f t="shared" si="0"/>
        <v>0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0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504468</v>
      </c>
      <c r="AH6" s="7">
        <v>504468</v>
      </c>
      <c r="AI6" s="7">
        <v>504468</v>
      </c>
      <c r="AJ6" s="7"/>
      <c r="AK6" s="7"/>
      <c r="AL6" s="12">
        <f t="shared" si="4"/>
        <v>0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729.74000000004889</v>
      </c>
      <c r="F7" s="3"/>
      <c r="G7" s="3"/>
      <c r="H7" s="3"/>
      <c r="I7" s="3"/>
      <c r="J7" s="3"/>
      <c r="K7" s="22">
        <f>SUM(K3:K6)</f>
        <v>729.74000000004889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730</v>
      </c>
      <c r="AG7" s="3"/>
      <c r="AH7" s="3"/>
      <c r="AI7" s="3"/>
      <c r="AJ7" s="3"/>
      <c r="AK7" s="3"/>
      <c r="AL7" s="22">
        <f>SUM(AL3:AL6)</f>
        <v>730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364565.75</v>
      </c>
      <c r="G8" s="7">
        <v>365889.33</v>
      </c>
      <c r="H8" s="7">
        <v>365889.33</v>
      </c>
      <c r="I8" s="7"/>
      <c r="J8" s="7"/>
      <c r="K8" s="12">
        <f t="shared" ref="K8:K9" si="9">G8-F8</f>
        <v>1323.5800000000163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1706094.6200000211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478943</v>
      </c>
      <c r="AH8" s="7">
        <v>480267</v>
      </c>
      <c r="AI8" s="7">
        <v>480267</v>
      </c>
      <c r="AJ8" s="7"/>
      <c r="AK8" s="7"/>
      <c r="AL8" s="12">
        <f t="shared" ref="AL8:AL9" si="12">AH8-AG8</f>
        <v>1324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1620576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1323.5800000000163</v>
      </c>
      <c r="F10" s="3"/>
      <c r="G10" s="3"/>
      <c r="H10" s="3"/>
      <c r="I10" s="3"/>
      <c r="J10" s="3"/>
      <c r="K10" s="22">
        <f>SUM(K8:K9)</f>
        <v>1323.5800000000163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1324</v>
      </c>
      <c r="AG10" s="3"/>
      <c r="AH10" s="3"/>
      <c r="AI10" s="3"/>
      <c r="AJ10" s="3"/>
      <c r="AK10" s="3"/>
      <c r="AL10" s="22">
        <f>SUM(AL8:AL9)</f>
        <v>1324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474169.01</v>
      </c>
      <c r="G11" s="7">
        <v>475759</v>
      </c>
      <c r="H11" s="7">
        <v>475759</v>
      </c>
      <c r="I11" s="7"/>
      <c r="J11" s="7"/>
      <c r="K11" s="12">
        <f t="shared" ref="K11:K14" si="17">G11-F11</f>
        <v>1589.9899999999907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2049497.109999988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474206</v>
      </c>
      <c r="AH11" s="7">
        <v>475796</v>
      </c>
      <c r="AI11" s="7">
        <v>475796</v>
      </c>
      <c r="AJ11" s="7"/>
      <c r="AK11" s="7"/>
      <c r="AL11" s="12">
        <f t="shared" ref="AL11:AL12" si="20">AH11-AG11</f>
        <v>1590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1946160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537526.63</v>
      </c>
      <c r="G12" s="7">
        <v>539657.27</v>
      </c>
      <c r="H12" s="7">
        <v>539657.27</v>
      </c>
      <c r="I12" s="7"/>
      <c r="J12" s="7"/>
      <c r="K12" s="12">
        <f t="shared" si="17"/>
        <v>2130.640000000014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2746394.9600000181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537567</v>
      </c>
      <c r="AH12" s="7">
        <v>539697</v>
      </c>
      <c r="AI12" s="7">
        <v>539697</v>
      </c>
      <c r="AJ12" s="7"/>
      <c r="AK12" s="7"/>
      <c r="AL12" s="12">
        <f t="shared" si="20"/>
        <v>2130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2607120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3720.6300000000047</v>
      </c>
      <c r="F13" s="3"/>
      <c r="G13" s="3"/>
      <c r="H13" s="3"/>
      <c r="I13" s="3"/>
      <c r="J13" s="3"/>
      <c r="K13" s="22">
        <f>SUM(K11:K12)</f>
        <v>3720.6300000000047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3720</v>
      </c>
      <c r="AG13" s="3"/>
      <c r="AH13" s="3"/>
      <c r="AI13" s="3"/>
      <c r="AJ13" s="3"/>
      <c r="AK13" s="3"/>
      <c r="AL13" s="22">
        <f>SUM(AL11:AL12)</f>
        <v>3720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456288.48</v>
      </c>
      <c r="G14" s="7">
        <v>457380.91</v>
      </c>
      <c r="H14" s="7">
        <v>457380.91</v>
      </c>
      <c r="I14" s="7"/>
      <c r="J14" s="7"/>
      <c r="K14" s="12">
        <f t="shared" si="17"/>
        <v>1092.429999999993</v>
      </c>
      <c r="L14" s="7">
        <v>1769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1932508.6699999876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456318</v>
      </c>
      <c r="AH14" s="7">
        <v>457410</v>
      </c>
      <c r="AI14" s="7">
        <v>457410</v>
      </c>
      <c r="AJ14" s="7"/>
      <c r="AK14" s="7"/>
      <c r="AL14" s="12">
        <f t="shared" ref="AL14" si="24">AH14-AG14</f>
        <v>1092</v>
      </c>
      <c r="AM14" s="7">
        <v>1709</v>
      </c>
      <c r="AN14" s="12">
        <f>AI14-AH14</f>
        <v>0</v>
      </c>
      <c r="AO14" s="7">
        <v>1769</v>
      </c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1866228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1092.429999999993</v>
      </c>
      <c r="F16" s="3"/>
      <c r="G16" s="3"/>
      <c r="H16" s="3"/>
      <c r="I16" s="7"/>
      <c r="K16" s="22">
        <f>SUM(K14:K15)</f>
        <v>1092.429999999993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1092</v>
      </c>
      <c r="AG16" s="32"/>
      <c r="AH16" s="32"/>
      <c r="AI16" s="32"/>
      <c r="AJ16" s="7"/>
      <c r="AL16" s="22">
        <f>SUM(AL14:AL15)</f>
        <v>1092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9375130.220000077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8933604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5350</v>
      </c>
      <c r="G20" s="35">
        <v>1750</v>
      </c>
      <c r="H20" s="36">
        <f>F20+V7-G20</f>
        <v>3600</v>
      </c>
      <c r="I20" s="36">
        <f>E13-H20</f>
        <v>120.63000000000466</v>
      </c>
      <c r="J20" s="37">
        <f>E13*0.085</f>
        <v>316.25355000000042</v>
      </c>
      <c r="K20" s="38">
        <f>I20-J20</f>
        <v>-195.62354999999576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5350</v>
      </c>
      <c r="AH20" s="35">
        <v>1750</v>
      </c>
      <c r="AI20" s="36">
        <f>AG20+AW7-AH20</f>
        <v>3600</v>
      </c>
      <c r="AJ20" s="36">
        <f>AF13-AI20</f>
        <v>120</v>
      </c>
      <c r="AK20" s="37">
        <f>AF13*0.085</f>
        <v>316.20000000000005</v>
      </c>
      <c r="AL20" s="38">
        <f>AJ20-AK20</f>
        <v>-196.20000000000005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700</v>
      </c>
      <c r="G21" s="35">
        <v>100</v>
      </c>
      <c r="H21" s="36">
        <f>F21+V8-G21</f>
        <v>600</v>
      </c>
      <c r="I21" s="36">
        <f>E7-H21</f>
        <v>129.74000000004889</v>
      </c>
      <c r="J21" s="37">
        <f>E7*0.085</f>
        <v>62.027900000004159</v>
      </c>
      <c r="K21" s="38">
        <f>I21-J21</f>
        <v>67.712100000044728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700</v>
      </c>
      <c r="AH21" s="35">
        <v>100</v>
      </c>
      <c r="AI21" s="36">
        <f>AG21+AW8-AH21</f>
        <v>600</v>
      </c>
      <c r="AJ21" s="36">
        <f>AF7-AI21</f>
        <v>130</v>
      </c>
      <c r="AK21" s="37">
        <f>AF7*0.085</f>
        <v>62.050000000000004</v>
      </c>
      <c r="AL21" s="38">
        <f>AJ21-AK21</f>
        <v>67.949999999999989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1500</v>
      </c>
      <c r="G22" s="35">
        <v>300</v>
      </c>
      <c r="H22" s="36">
        <f>F22+V9-G22</f>
        <v>1200</v>
      </c>
      <c r="I22" s="36">
        <f>E10-H22</f>
        <v>123.5800000000163</v>
      </c>
      <c r="J22" s="37">
        <f>E10*0.085</f>
        <v>112.50430000000139</v>
      </c>
      <c r="K22" s="38">
        <f>I22-J22</f>
        <v>11.075700000014905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1500</v>
      </c>
      <c r="AH22" s="35">
        <v>300</v>
      </c>
      <c r="AI22" s="36">
        <f>AG22+AW9-AH22</f>
        <v>1200</v>
      </c>
      <c r="AJ22" s="36">
        <f>AF10-AI22</f>
        <v>124</v>
      </c>
      <c r="AK22" s="37">
        <f>AF10*0.085</f>
        <v>112.54</v>
      </c>
      <c r="AL22" s="38">
        <f>AJ22-AK22</f>
        <v>11.459999999999994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10500</v>
      </c>
      <c r="G23" s="35">
        <v>9500</v>
      </c>
      <c r="H23" s="36">
        <f>F23+V10-G23</f>
        <v>1000</v>
      </c>
      <c r="I23" s="36">
        <f>E16-H23</f>
        <v>92.429999999993015</v>
      </c>
      <c r="J23" s="37">
        <f>E16*0.085</f>
        <v>92.856549999999416</v>
      </c>
      <c r="K23" s="38">
        <f>I23-J23</f>
        <v>-0.42655000000640086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10500</v>
      </c>
      <c r="AH23" s="35">
        <v>9500</v>
      </c>
      <c r="AI23" s="36">
        <f>AG23+AW10-AH23</f>
        <v>1000</v>
      </c>
      <c r="AJ23" s="36">
        <f>AF16-AI23</f>
        <v>92</v>
      </c>
      <c r="AK23" s="37">
        <f>AF16*0.085</f>
        <v>92.820000000000007</v>
      </c>
      <c r="AL23" s="38">
        <f>AJ23-AK23</f>
        <v>-0.82000000000000739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859950</v>
      </c>
      <c r="C26" s="46">
        <v>845200</v>
      </c>
      <c r="D26" s="17">
        <v>0</v>
      </c>
      <c r="E26" s="17">
        <v>1996100</v>
      </c>
      <c r="F26" s="17">
        <v>0</v>
      </c>
      <c r="G26" s="46">
        <v>415150</v>
      </c>
      <c r="H26" s="46">
        <v>15445</v>
      </c>
      <c r="I26" s="46">
        <v>5118018.29</v>
      </c>
      <c r="J26" s="46">
        <v>62000</v>
      </c>
      <c r="K26" s="46">
        <v>0</v>
      </c>
      <c r="L26" s="46">
        <v>0</v>
      </c>
      <c r="M26" s="46">
        <v>0</v>
      </c>
      <c r="N26" s="46">
        <v>206300</v>
      </c>
      <c r="O26" s="46">
        <v>0</v>
      </c>
      <c r="P26" s="46">
        <v>0</v>
      </c>
      <c r="Q26" s="46">
        <v>7973570.3200000003</v>
      </c>
      <c r="R26" s="47">
        <f>SUM(S17-W23-B26-C26-D26-E26-F26-G26-H26-I26-J26-K26-L26-M26-N26-O26-P26+Q26)</f>
        <v>7830537.2500000773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1996100</v>
      </c>
      <c r="AG26" s="17">
        <v>0</v>
      </c>
      <c r="AH26" s="46">
        <v>415150</v>
      </c>
      <c r="AI26" s="46">
        <v>15445</v>
      </c>
      <c r="AJ26" s="46">
        <v>5118018.29</v>
      </c>
      <c r="AK26" s="46">
        <v>62000</v>
      </c>
      <c r="AL26" s="46">
        <v>0</v>
      </c>
      <c r="AM26" s="46">
        <v>0</v>
      </c>
      <c r="AN26" s="46">
        <v>0</v>
      </c>
      <c r="AO26" s="46">
        <v>206300</v>
      </c>
      <c r="AP26" s="46">
        <v>0</v>
      </c>
      <c r="AQ26" s="46">
        <v>0</v>
      </c>
      <c r="AR26" s="46">
        <v>7973570.3200000003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10" workbookViewId="0">
      <selection activeCell="H30" sqref="H30"/>
    </sheetView>
  </sheetViews>
  <sheetFormatPr defaultRowHeight="15" x14ac:dyDescent="0.25"/>
  <cols>
    <col min="5" max="5" width="10" bestFit="1" customWidth="1"/>
    <col min="10" max="10" width="10" bestFit="1" customWidth="1"/>
    <col min="17" max="17" width="10" bestFit="1" customWidth="1"/>
    <col min="18" max="18" width="12.28515625" bestFit="1" customWidth="1"/>
    <col min="19" max="19" width="11.140625" bestFit="1" customWidth="1"/>
  </cols>
  <sheetData>
    <row r="1" spans="2:50" x14ac:dyDescent="0.25">
      <c r="B1" s="1">
        <v>46268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418185.02</v>
      </c>
      <c r="G3" s="7">
        <v>418185.02</v>
      </c>
      <c r="H3" s="7">
        <v>418185.02</v>
      </c>
      <c r="I3" s="7"/>
      <c r="J3" s="7"/>
      <c r="K3" s="12">
        <f>G3-F3</f>
        <v>0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0</v>
      </c>
      <c r="T3" s="7"/>
      <c r="U3" s="3" t="s">
        <v>9</v>
      </c>
      <c r="V3" s="13">
        <f>E7+E10+E13</f>
        <v>939.75999999995111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418218</v>
      </c>
      <c r="AH3" s="7">
        <v>418218</v>
      </c>
      <c r="AI3" s="7">
        <v>418218</v>
      </c>
      <c r="AJ3" s="7"/>
      <c r="AK3" s="7"/>
      <c r="AL3" s="12">
        <f>AH3-AG3</f>
        <v>0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0</v>
      </c>
      <c r="AU3" s="7"/>
      <c r="AV3" s="3" t="s">
        <v>9</v>
      </c>
      <c r="AW3" s="13">
        <f>AF7+AF10+AF13</f>
        <v>940</v>
      </c>
      <c r="AX3" s="3"/>
    </row>
    <row r="4" spans="2:50" x14ac:dyDescent="0.25">
      <c r="D4" s="3"/>
      <c r="E4" s="3" t="s">
        <v>11</v>
      </c>
      <c r="F4" s="7">
        <v>313407.03000000003</v>
      </c>
      <c r="G4" s="7">
        <v>313407.03000000003</v>
      </c>
      <c r="H4" s="7">
        <v>313407.03000000003</v>
      </c>
      <c r="I4" s="7"/>
      <c r="J4" s="7"/>
      <c r="K4" s="12">
        <f t="shared" ref="K4:K6" si="0">G4-F4</f>
        <v>0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0</v>
      </c>
      <c r="T4" s="7"/>
      <c r="U4" s="3" t="s">
        <v>12</v>
      </c>
      <c r="V4" s="13">
        <f>E16</f>
        <v>1217.1100000000442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313444</v>
      </c>
      <c r="AH4" s="7">
        <v>313444</v>
      </c>
      <c r="AI4" s="7">
        <v>313444</v>
      </c>
      <c r="AJ4" s="7"/>
      <c r="AK4" s="7"/>
      <c r="AL4" s="12">
        <f t="shared" ref="AL4:AL6" si="4">AH4-AG4</f>
        <v>0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0</v>
      </c>
      <c r="AU4" s="7"/>
      <c r="AV4" s="3" t="s">
        <v>12</v>
      </c>
      <c r="AW4" s="13">
        <f>AF16</f>
        <v>1218</v>
      </c>
      <c r="AX4" s="3"/>
    </row>
    <row r="5" spans="2:50" x14ac:dyDescent="0.25">
      <c r="D5" s="4"/>
      <c r="E5" s="3" t="s">
        <v>14</v>
      </c>
      <c r="F5" s="7">
        <v>321849.34999999998</v>
      </c>
      <c r="G5" s="7">
        <v>321849.34999999998</v>
      </c>
      <c r="H5" s="7">
        <v>321849.34999999998</v>
      </c>
      <c r="I5" s="7"/>
      <c r="J5" s="7"/>
      <c r="K5" s="12">
        <f t="shared" si="0"/>
        <v>0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0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321888</v>
      </c>
      <c r="AH5" s="7">
        <v>321888</v>
      </c>
      <c r="AI5" s="7">
        <v>321888</v>
      </c>
      <c r="AJ5" s="7"/>
      <c r="AK5" s="7"/>
      <c r="AL5" s="12">
        <f t="shared" si="4"/>
        <v>0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504429.51</v>
      </c>
      <c r="G6" s="7">
        <v>504429.51</v>
      </c>
      <c r="H6" s="7">
        <v>504429.51</v>
      </c>
      <c r="I6" s="7"/>
      <c r="J6" s="7"/>
      <c r="K6" s="12">
        <f t="shared" si="0"/>
        <v>0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0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504468</v>
      </c>
      <c r="AH6" s="7">
        <v>504468</v>
      </c>
      <c r="AI6" s="7">
        <v>504468</v>
      </c>
      <c r="AJ6" s="7"/>
      <c r="AK6" s="7"/>
      <c r="AL6" s="12">
        <f t="shared" si="4"/>
        <v>0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0</v>
      </c>
      <c r="F7" s="3"/>
      <c r="G7" s="3"/>
      <c r="H7" s="3"/>
      <c r="I7" s="3"/>
      <c r="J7" s="3"/>
      <c r="K7" s="22">
        <f>SUM(K3:K6)</f>
        <v>0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0</v>
      </c>
      <c r="AG7" s="3"/>
      <c r="AH7" s="3"/>
      <c r="AI7" s="3"/>
      <c r="AJ7" s="3"/>
      <c r="AK7" s="3"/>
      <c r="AL7" s="22">
        <f>SUM(AL3:AL6)</f>
        <v>0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365889.33</v>
      </c>
      <c r="G8" s="7">
        <v>365889.33</v>
      </c>
      <c r="H8" s="7">
        <v>365889.33</v>
      </c>
      <c r="I8" s="7"/>
      <c r="J8" s="7"/>
      <c r="K8" s="12">
        <f t="shared" ref="K8:K9" si="9">G8-F8</f>
        <v>0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0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480267</v>
      </c>
      <c r="AH8" s="7">
        <v>480267</v>
      </c>
      <c r="AI8" s="7">
        <v>480267</v>
      </c>
      <c r="AJ8" s="7"/>
      <c r="AK8" s="7"/>
      <c r="AL8" s="12">
        <f t="shared" ref="AL8:AL9" si="12">AH8-AG8</f>
        <v>0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0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0</v>
      </c>
      <c r="F10" s="3"/>
      <c r="G10" s="3"/>
      <c r="H10" s="3"/>
      <c r="I10" s="3"/>
      <c r="J10" s="3"/>
      <c r="K10" s="22">
        <f>SUM(K8:K9)</f>
        <v>0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>
        <v>20400</v>
      </c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0</v>
      </c>
      <c r="AG10" s="3"/>
      <c r="AH10" s="3"/>
      <c r="AI10" s="3"/>
      <c r="AJ10" s="3"/>
      <c r="AK10" s="3"/>
      <c r="AL10" s="22">
        <f>SUM(AL8:AL9)</f>
        <v>0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>
        <v>20400</v>
      </c>
      <c r="AX10" s="3"/>
    </row>
    <row r="11" spans="2:50" x14ac:dyDescent="0.25">
      <c r="D11" s="21"/>
      <c r="E11" s="3" t="s">
        <v>25</v>
      </c>
      <c r="F11" s="7">
        <v>475759</v>
      </c>
      <c r="G11" s="7">
        <v>476054.96</v>
      </c>
      <c r="H11" s="7">
        <v>476054.96</v>
      </c>
      <c r="I11" s="7"/>
      <c r="J11" s="7"/>
      <c r="K11" s="12">
        <f t="shared" ref="K11:K14" si="17">G11-F11</f>
        <v>295.96000000002095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381492.44000002701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475796</v>
      </c>
      <c r="AH11" s="7">
        <v>476092</v>
      </c>
      <c r="AI11" s="7">
        <v>476092</v>
      </c>
      <c r="AJ11" s="7"/>
      <c r="AK11" s="7"/>
      <c r="AL11" s="12">
        <f t="shared" ref="AL11:AL12" si="20">AH11-AG11</f>
        <v>296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362304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539657.27</v>
      </c>
      <c r="G12" s="7">
        <v>540301.06999999995</v>
      </c>
      <c r="H12" s="7">
        <v>540301.06999999995</v>
      </c>
      <c r="I12" s="7"/>
      <c r="J12" s="7"/>
      <c r="K12" s="12">
        <f t="shared" si="17"/>
        <v>643.79999999993015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829858.19999990996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539697</v>
      </c>
      <c r="AH12" s="7">
        <v>540341</v>
      </c>
      <c r="AI12" s="7">
        <v>540341</v>
      </c>
      <c r="AJ12" s="7"/>
      <c r="AK12" s="7"/>
      <c r="AL12" s="12">
        <f t="shared" si="20"/>
        <v>644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788256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939.75999999995111</v>
      </c>
      <c r="F13" s="3"/>
      <c r="G13" s="3"/>
      <c r="H13" s="3"/>
      <c r="I13" s="3"/>
      <c r="J13" s="3"/>
      <c r="K13" s="22">
        <f>SUM(K11:K12)</f>
        <v>939.75999999995111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940</v>
      </c>
      <c r="AG13" s="3"/>
      <c r="AH13" s="3"/>
      <c r="AI13" s="3"/>
      <c r="AJ13" s="3"/>
      <c r="AK13" s="3"/>
      <c r="AL13" s="22">
        <f>SUM(AL11:AL12)</f>
        <v>940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457380.91</v>
      </c>
      <c r="G14" s="7">
        <v>458517.59</v>
      </c>
      <c r="H14" s="7">
        <v>458598.02</v>
      </c>
      <c r="I14" s="7"/>
      <c r="J14" s="7"/>
      <c r="K14" s="12">
        <f t="shared" si="17"/>
        <v>1136.6800000000512</v>
      </c>
      <c r="L14" s="7">
        <v>1769</v>
      </c>
      <c r="M14" s="12">
        <f>H14-G14</f>
        <v>80.429999999993015</v>
      </c>
      <c r="N14" s="7">
        <v>1869</v>
      </c>
      <c r="O14" s="12">
        <f>I14</f>
        <v>0</v>
      </c>
      <c r="P14" s="7"/>
      <c r="Q14" s="12">
        <f>J14-I14</f>
        <v>0</v>
      </c>
      <c r="R14" s="7"/>
      <c r="S14" s="12">
        <f t="shared" si="3"/>
        <v>2161110.5900000776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457410</v>
      </c>
      <c r="AH14" s="7">
        <v>458547</v>
      </c>
      <c r="AI14" s="7">
        <v>458628</v>
      </c>
      <c r="AJ14" s="7"/>
      <c r="AK14" s="7"/>
      <c r="AL14" s="12">
        <f t="shared" ref="AL14" si="24">AH14-AG14</f>
        <v>1137</v>
      </c>
      <c r="AM14" s="7">
        <v>1769</v>
      </c>
      <c r="AN14" s="12">
        <f>AI14-AH14</f>
        <v>81</v>
      </c>
      <c r="AO14" s="7">
        <v>1869</v>
      </c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2162742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1217.1100000000442</v>
      </c>
      <c r="F16" s="3"/>
      <c r="G16" s="3"/>
      <c r="H16" s="3"/>
      <c r="I16" s="7"/>
      <c r="K16" s="22">
        <f>SUM(K14:K15)</f>
        <v>1136.6800000000512</v>
      </c>
      <c r="L16" s="7"/>
      <c r="M16" s="22">
        <f>SUM(M14:M15)</f>
        <v>80.429999999993015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1218</v>
      </c>
      <c r="AG16" s="32"/>
      <c r="AH16" s="32"/>
      <c r="AI16" s="32"/>
      <c r="AJ16" s="7"/>
      <c r="AL16" s="22">
        <f>SUM(AL14:AL15)</f>
        <v>1137</v>
      </c>
      <c r="AM16" s="7"/>
      <c r="AN16" s="22">
        <f>SUM(AN14:AN15)</f>
        <v>81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3372461.2300000144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3313302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1750</v>
      </c>
      <c r="G20" s="35">
        <v>850</v>
      </c>
      <c r="H20" s="36">
        <f>F20+V7-G20</f>
        <v>900</v>
      </c>
      <c r="I20" s="36">
        <f>E13-H20</f>
        <v>39.759999999951106</v>
      </c>
      <c r="J20" s="37">
        <f>E13*0.085</f>
        <v>79.879599999995847</v>
      </c>
      <c r="K20" s="38">
        <f>I20-J20</f>
        <v>-40.119600000044741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1750</v>
      </c>
      <c r="AH20" s="35">
        <v>850</v>
      </c>
      <c r="AI20" s="36">
        <f>AG20+AW7-AH20</f>
        <v>900</v>
      </c>
      <c r="AJ20" s="36">
        <f>AF13-AI20</f>
        <v>40</v>
      </c>
      <c r="AK20" s="37">
        <f>AF13*0.085</f>
        <v>79.900000000000006</v>
      </c>
      <c r="AL20" s="38">
        <f>AJ20-AK20</f>
        <v>-39.900000000000006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100</v>
      </c>
      <c r="G21" s="35">
        <v>100</v>
      </c>
      <c r="H21" s="36">
        <f>F21+V8-G21</f>
        <v>0</v>
      </c>
      <c r="I21" s="36">
        <f>E7-H21</f>
        <v>0</v>
      </c>
      <c r="J21" s="37">
        <f>E7*0.085</f>
        <v>0</v>
      </c>
      <c r="K21" s="38">
        <f>I21-J21</f>
        <v>0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100</v>
      </c>
      <c r="AH21" s="35">
        <v>100</v>
      </c>
      <c r="AI21" s="36">
        <f>AG21+AW8-AH21</f>
        <v>0</v>
      </c>
      <c r="AJ21" s="36">
        <f>AF7-AI21</f>
        <v>0</v>
      </c>
      <c r="AK21" s="37">
        <f>AF7*0.085</f>
        <v>0</v>
      </c>
      <c r="AL21" s="38">
        <f>AJ21-AK21</f>
        <v>0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300</v>
      </c>
      <c r="G22" s="35">
        <v>200</v>
      </c>
      <c r="H22" s="36">
        <f>F22+V9-G22</f>
        <v>100</v>
      </c>
      <c r="I22" s="36">
        <f>E10-H22</f>
        <v>-100</v>
      </c>
      <c r="J22" s="37">
        <f>E10*0.085</f>
        <v>0</v>
      </c>
      <c r="K22" s="38">
        <f>I22-J22</f>
        <v>-100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300</v>
      </c>
      <c r="AH22" s="35">
        <v>200</v>
      </c>
      <c r="AI22" s="36">
        <f>AG22+AW9-AH22</f>
        <v>100</v>
      </c>
      <c r="AJ22" s="36">
        <f>AF10-AI22</f>
        <v>-100</v>
      </c>
      <c r="AK22" s="37">
        <f>AF10*0.085</f>
        <v>0</v>
      </c>
      <c r="AL22" s="38">
        <f>AJ22-AK22</f>
        <v>-100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9500</v>
      </c>
      <c r="G23" s="35">
        <v>28750</v>
      </c>
      <c r="H23" s="36">
        <f>F23+V10-G23</f>
        <v>1150</v>
      </c>
      <c r="I23" s="36">
        <f>E16-H23</f>
        <v>67.110000000044238</v>
      </c>
      <c r="J23" s="37">
        <f>E16*0.085</f>
        <v>103.45435000000377</v>
      </c>
      <c r="K23" s="38">
        <f>I23-J23</f>
        <v>-36.344349999959533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9500</v>
      </c>
      <c r="AH23" s="35">
        <v>28750</v>
      </c>
      <c r="AI23" s="36">
        <f>AG23+AW10-AH23</f>
        <v>1150</v>
      </c>
      <c r="AJ23" s="36">
        <f>AF16-AI23</f>
        <v>68</v>
      </c>
      <c r="AK23" s="37">
        <f>AF16*0.085</f>
        <v>103.53</v>
      </c>
      <c r="AL23" s="38">
        <f>AJ23-AK23</f>
        <v>-35.53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772380</v>
      </c>
      <c r="C26" s="46">
        <v>483520</v>
      </c>
      <c r="D26" s="17">
        <v>0</v>
      </c>
      <c r="E26" s="17">
        <v>1572300</v>
      </c>
      <c r="F26" s="17">
        <v>0</v>
      </c>
      <c r="G26" s="46">
        <v>0</v>
      </c>
      <c r="H26" s="46">
        <v>44725</v>
      </c>
      <c r="I26" s="46">
        <v>10000</v>
      </c>
      <c r="J26" s="46">
        <v>2335190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7830537.25</v>
      </c>
      <c r="R26" s="47">
        <f>SUM(S17-W23-B26-C26-D26-E26-F26-G26-H26-I26-J26-K26-L26-M26-N26-O26-P26+Q26)</f>
        <v>5984883.4800000144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K10" workbookViewId="0">
      <selection activeCell="N30" sqref="N30"/>
    </sheetView>
  </sheetViews>
  <sheetFormatPr defaultRowHeight="15" x14ac:dyDescent="0.25"/>
  <cols>
    <col min="9" max="9" width="10" bestFit="1" customWidth="1"/>
    <col min="17" max="17" width="10" bestFit="1" customWidth="1"/>
    <col min="18" max="18" width="12.28515625" bestFit="1" customWidth="1"/>
  </cols>
  <sheetData>
    <row r="1" spans="2:50" x14ac:dyDescent="0.25">
      <c r="B1" s="1">
        <v>46269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418185.02</v>
      </c>
      <c r="G3" s="7">
        <v>418185.02</v>
      </c>
      <c r="H3" s="7">
        <v>418185.02</v>
      </c>
      <c r="I3" s="7"/>
      <c r="J3" s="7"/>
      <c r="K3" s="12">
        <f>G3-F3</f>
        <v>0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0</v>
      </c>
      <c r="T3" s="7"/>
      <c r="U3" s="3" t="s">
        <v>9</v>
      </c>
      <c r="V3" s="13">
        <f>E7+E10+E13</f>
        <v>0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418218</v>
      </c>
      <c r="AH3" s="7">
        <v>418218</v>
      </c>
      <c r="AI3" s="7">
        <v>418218</v>
      </c>
      <c r="AJ3" s="7"/>
      <c r="AK3" s="7"/>
      <c r="AL3" s="12">
        <f>AH3-AG3</f>
        <v>0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0</v>
      </c>
      <c r="AU3" s="7"/>
      <c r="AV3" s="3" t="s">
        <v>9</v>
      </c>
      <c r="AW3" s="13">
        <f>AF7+AF10+AF13</f>
        <v>0</v>
      </c>
      <c r="AX3" s="3"/>
    </row>
    <row r="4" spans="2:50" x14ac:dyDescent="0.25">
      <c r="D4" s="3"/>
      <c r="E4" s="3" t="s">
        <v>11</v>
      </c>
      <c r="F4" s="7">
        <v>313407.03000000003</v>
      </c>
      <c r="G4" s="7">
        <v>313407.03000000003</v>
      </c>
      <c r="H4" s="7">
        <v>313407.03000000003</v>
      </c>
      <c r="I4" s="7"/>
      <c r="J4" s="7"/>
      <c r="K4" s="12">
        <f t="shared" ref="K4:K6" si="0">G4-F4</f>
        <v>0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0</v>
      </c>
      <c r="T4" s="7"/>
      <c r="U4" s="3" t="s">
        <v>12</v>
      </c>
      <c r="V4" s="13">
        <f>E16</f>
        <v>465.55999999999767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313444</v>
      </c>
      <c r="AH4" s="7">
        <v>313444</v>
      </c>
      <c r="AI4" s="7">
        <v>313444</v>
      </c>
      <c r="AJ4" s="7"/>
      <c r="AK4" s="7"/>
      <c r="AL4" s="12">
        <f t="shared" ref="AL4:AL6" si="4">AH4-AG4</f>
        <v>0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0</v>
      </c>
      <c r="AU4" s="7"/>
      <c r="AV4" s="3" t="s">
        <v>12</v>
      </c>
      <c r="AW4" s="13">
        <f>AF16</f>
        <v>465</v>
      </c>
      <c r="AX4" s="3"/>
    </row>
    <row r="5" spans="2:50" x14ac:dyDescent="0.25">
      <c r="D5" s="4"/>
      <c r="E5" s="3" t="s">
        <v>14</v>
      </c>
      <c r="F5" s="7">
        <v>321849.34999999998</v>
      </c>
      <c r="G5" s="7">
        <v>321849.34999999998</v>
      </c>
      <c r="H5" s="7">
        <v>321849.34999999998</v>
      </c>
      <c r="I5" s="7"/>
      <c r="J5" s="7"/>
      <c r="K5" s="12">
        <f t="shared" si="0"/>
        <v>0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0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321888</v>
      </c>
      <c r="AH5" s="7">
        <v>321888</v>
      </c>
      <c r="AI5" s="7">
        <v>321888</v>
      </c>
      <c r="AJ5" s="7"/>
      <c r="AK5" s="7"/>
      <c r="AL5" s="12">
        <f t="shared" si="4"/>
        <v>0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504429.51</v>
      </c>
      <c r="G6" s="7">
        <v>504429.51</v>
      </c>
      <c r="H6" s="7">
        <v>504429.51</v>
      </c>
      <c r="I6" s="7"/>
      <c r="J6" s="7"/>
      <c r="K6" s="12">
        <f t="shared" si="0"/>
        <v>0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0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504468</v>
      </c>
      <c r="AH6" s="7">
        <v>504468</v>
      </c>
      <c r="AI6" s="7">
        <v>504468</v>
      </c>
      <c r="AJ6" s="7"/>
      <c r="AK6" s="7"/>
      <c r="AL6" s="12">
        <f t="shared" si="4"/>
        <v>0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0</v>
      </c>
      <c r="F7" s="3"/>
      <c r="G7" s="3"/>
      <c r="H7" s="3"/>
      <c r="I7" s="3"/>
      <c r="J7" s="3"/>
      <c r="K7" s="22">
        <f>SUM(K3:K6)</f>
        <v>0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0</v>
      </c>
      <c r="AG7" s="3"/>
      <c r="AH7" s="3"/>
      <c r="AI7" s="3"/>
      <c r="AJ7" s="3"/>
      <c r="AK7" s="3"/>
      <c r="AL7" s="22">
        <f>SUM(AL3:AL6)</f>
        <v>0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365889.33</v>
      </c>
      <c r="G8" s="7">
        <v>365889.33</v>
      </c>
      <c r="H8" s="7">
        <v>365889.33</v>
      </c>
      <c r="I8" s="7"/>
      <c r="J8" s="7"/>
      <c r="K8" s="12">
        <f t="shared" ref="K8:K9" si="9">G8-F8</f>
        <v>0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0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480267</v>
      </c>
      <c r="AH8" s="7">
        <v>480267</v>
      </c>
      <c r="AI8" s="7">
        <v>480267</v>
      </c>
      <c r="AJ8" s="7"/>
      <c r="AK8" s="7"/>
      <c r="AL8" s="12">
        <f t="shared" ref="AL8:AL9" si="12">AH8-AG8</f>
        <v>0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0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0</v>
      </c>
      <c r="F10" s="3"/>
      <c r="G10" s="3"/>
      <c r="H10" s="3"/>
      <c r="I10" s="3"/>
      <c r="J10" s="3"/>
      <c r="K10" s="22">
        <f>SUM(K8:K9)</f>
        <v>0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0</v>
      </c>
      <c r="AG10" s="3"/>
      <c r="AH10" s="3"/>
      <c r="AI10" s="3"/>
      <c r="AJ10" s="3"/>
      <c r="AK10" s="3"/>
      <c r="AL10" s="22">
        <f>SUM(AL8:AL9)</f>
        <v>0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476054.96</v>
      </c>
      <c r="G11" s="7">
        <v>476054.96</v>
      </c>
      <c r="H11" s="7">
        <v>476054.96</v>
      </c>
      <c r="I11" s="7"/>
      <c r="J11" s="7"/>
      <c r="K11" s="12">
        <f t="shared" ref="K11:K14" si="17">G11-F11</f>
        <v>0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0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476092</v>
      </c>
      <c r="AH11" s="7">
        <v>476092</v>
      </c>
      <c r="AI11" s="7">
        <v>476092</v>
      </c>
      <c r="AJ11" s="7"/>
      <c r="AK11" s="7"/>
      <c r="AL11" s="12">
        <f t="shared" ref="AL11:AL12" si="20">AH11-AG11</f>
        <v>0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540301.06999999995</v>
      </c>
      <c r="G12" s="7">
        <v>540301.06999999995</v>
      </c>
      <c r="H12" s="7">
        <v>540301.06999999995</v>
      </c>
      <c r="I12" s="7"/>
      <c r="J12" s="7"/>
      <c r="K12" s="12">
        <f t="shared" si="17"/>
        <v>0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0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540341</v>
      </c>
      <c r="AH12" s="7">
        <v>540341</v>
      </c>
      <c r="AI12" s="7">
        <v>540341</v>
      </c>
      <c r="AJ12" s="7"/>
      <c r="AK12" s="7"/>
      <c r="AL12" s="12">
        <f t="shared" si="20"/>
        <v>0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0</v>
      </c>
      <c r="F13" s="3"/>
      <c r="G13" s="3"/>
      <c r="H13" s="3"/>
      <c r="I13" s="3"/>
      <c r="J13" s="3"/>
      <c r="K13" s="22">
        <f>SUM(K11:K12)</f>
        <v>0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0</v>
      </c>
      <c r="AG13" s="3"/>
      <c r="AH13" s="3"/>
      <c r="AI13" s="3"/>
      <c r="AJ13" s="3"/>
      <c r="AK13" s="3"/>
      <c r="AL13" s="22">
        <f>SUM(AL11:AL12)</f>
        <v>0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458598.02</v>
      </c>
      <c r="G14" s="7">
        <v>459063.58</v>
      </c>
      <c r="H14" s="7">
        <v>459063.58</v>
      </c>
      <c r="I14" s="7"/>
      <c r="J14" s="7"/>
      <c r="K14" s="12">
        <f t="shared" si="17"/>
        <v>465.55999999999767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870131.63999999571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458628</v>
      </c>
      <c r="AH14" s="7">
        <v>459093</v>
      </c>
      <c r="AI14" s="7">
        <v>459093</v>
      </c>
      <c r="AJ14" s="7"/>
      <c r="AK14" s="7"/>
      <c r="AL14" s="12">
        <f t="shared" ref="AL14" si="24">AH14-AG14</f>
        <v>465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869085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465.55999999999767</v>
      </c>
      <c r="F16" s="3"/>
      <c r="G16" s="3"/>
      <c r="H16" s="3"/>
      <c r="I16" s="7"/>
      <c r="K16" s="22">
        <f>SUM(K14:K15)</f>
        <v>465.55999999999767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465</v>
      </c>
      <c r="AG16" s="32"/>
      <c r="AH16" s="32"/>
      <c r="AI16" s="32"/>
      <c r="AJ16" s="7"/>
      <c r="AL16" s="22">
        <f>SUM(AL14:AL15)</f>
        <v>465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870131.63999999571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869085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850</v>
      </c>
      <c r="G20" s="35">
        <v>850</v>
      </c>
      <c r="H20" s="36">
        <f>F20+V7-G20</f>
        <v>0</v>
      </c>
      <c r="I20" s="36">
        <f>E13-H20</f>
        <v>0</v>
      </c>
      <c r="J20" s="37">
        <f>E13*0.085</f>
        <v>0</v>
      </c>
      <c r="K20" s="38">
        <f>I20-J20</f>
        <v>0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850</v>
      </c>
      <c r="AH20" s="35">
        <v>850</v>
      </c>
      <c r="AI20" s="36">
        <f>AG20+AW7-AH20</f>
        <v>0</v>
      </c>
      <c r="AJ20" s="36">
        <f>AF13-AI20</f>
        <v>0</v>
      </c>
      <c r="AK20" s="37">
        <f>AF13*0.085</f>
        <v>0</v>
      </c>
      <c r="AL20" s="38">
        <f>AJ20-AK20</f>
        <v>0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100</v>
      </c>
      <c r="G21" s="35">
        <v>100</v>
      </c>
      <c r="H21" s="36">
        <f>F21+V8-G21</f>
        <v>0</v>
      </c>
      <c r="I21" s="36">
        <f>E7-H21</f>
        <v>0</v>
      </c>
      <c r="J21" s="37">
        <f>E7*0.085</f>
        <v>0</v>
      </c>
      <c r="K21" s="38">
        <f>I21-J21</f>
        <v>0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100</v>
      </c>
      <c r="AH21" s="35">
        <v>100</v>
      </c>
      <c r="AI21" s="36">
        <f>AG21+AW8-AH21</f>
        <v>0</v>
      </c>
      <c r="AJ21" s="36">
        <f>AF7-AI21</f>
        <v>0</v>
      </c>
      <c r="AK21" s="37">
        <f>AF7*0.085</f>
        <v>0</v>
      </c>
      <c r="AL21" s="38">
        <f>AJ21-AK21</f>
        <v>0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200</v>
      </c>
      <c r="G22" s="35">
        <v>200</v>
      </c>
      <c r="H22" s="36">
        <f>F22+V9-G22</f>
        <v>0</v>
      </c>
      <c r="I22" s="36">
        <f>E10-H22</f>
        <v>0</v>
      </c>
      <c r="J22" s="37">
        <f>E10*0.085</f>
        <v>0</v>
      </c>
      <c r="K22" s="38">
        <f>I22-J22</f>
        <v>0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200</v>
      </c>
      <c r="AH22" s="35">
        <v>200</v>
      </c>
      <c r="AI22" s="36">
        <f>AG22+AW9-AH22</f>
        <v>0</v>
      </c>
      <c r="AJ22" s="36">
        <f>AF10-AI22</f>
        <v>0</v>
      </c>
      <c r="AK22" s="37">
        <f>AF10*0.085</f>
        <v>0</v>
      </c>
      <c r="AL22" s="38">
        <f>AJ22-AK22</f>
        <v>0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28750</v>
      </c>
      <c r="G23" s="35">
        <v>28300</v>
      </c>
      <c r="H23" s="36">
        <f>F23+V10-G23</f>
        <v>450</v>
      </c>
      <c r="I23" s="36">
        <f>E16-H23</f>
        <v>15.559999999997672</v>
      </c>
      <c r="J23" s="37">
        <f>E16*0.085</f>
        <v>39.572599999999802</v>
      </c>
      <c r="K23" s="38">
        <f>I23-J23</f>
        <v>-24.012600000002131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28750</v>
      </c>
      <c r="AH23" s="35">
        <v>28300</v>
      </c>
      <c r="AI23" s="36">
        <f>AG23+AW10-AH23</f>
        <v>450</v>
      </c>
      <c r="AJ23" s="36">
        <f>AF16-AI23</f>
        <v>15</v>
      </c>
      <c r="AK23" s="37">
        <f>AF16*0.085</f>
        <v>39.525000000000006</v>
      </c>
      <c r="AL23" s="38">
        <f>AJ23-AK23</f>
        <v>-24.525000000000006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126780</v>
      </c>
      <c r="C26" s="46">
        <v>0</v>
      </c>
      <c r="D26" s="17">
        <v>0</v>
      </c>
      <c r="E26" s="17">
        <v>0</v>
      </c>
      <c r="F26" s="17">
        <v>0</v>
      </c>
      <c r="G26" s="46">
        <v>0</v>
      </c>
      <c r="H26" s="46">
        <v>18500</v>
      </c>
      <c r="I26" s="46">
        <v>1508095</v>
      </c>
      <c r="J26" s="46">
        <v>56070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5984883.4800000004</v>
      </c>
      <c r="R26" s="47">
        <f>SUM(S17-W23-B26-C26-D26-E26-F26-G26-H26-I26-J26-K26-L26-M26-N26-O26-P26+Q26)</f>
        <v>5145570.1199999964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I7" workbookViewId="0">
      <selection activeCell="Q28" sqref="Q28"/>
    </sheetView>
  </sheetViews>
  <sheetFormatPr defaultRowHeight="15" x14ac:dyDescent="0.25"/>
  <cols>
    <col min="10" max="10" width="10" bestFit="1" customWidth="1"/>
    <col min="17" max="17" width="10" bestFit="1" customWidth="1"/>
    <col min="18" max="18" width="12.42578125" customWidth="1"/>
    <col min="19" max="19" width="13.28515625" customWidth="1"/>
  </cols>
  <sheetData>
    <row r="1" spans="2:50" x14ac:dyDescent="0.25">
      <c r="B1" s="1">
        <v>46270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418185.02</v>
      </c>
      <c r="G3" s="7">
        <v>418597.89</v>
      </c>
      <c r="H3" s="7">
        <v>418597.89</v>
      </c>
      <c r="I3" s="7"/>
      <c r="J3" s="7"/>
      <c r="K3" s="12">
        <f>G3-F3</f>
        <v>412.86999999999534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532189.429999994</v>
      </c>
      <c r="T3" s="7"/>
      <c r="U3" s="3" t="s">
        <v>9</v>
      </c>
      <c r="V3" s="13">
        <f>E7+E10+E13</f>
        <v>1335.1999999999534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418218</v>
      </c>
      <c r="AH3" s="7">
        <v>418631</v>
      </c>
      <c r="AI3" s="7">
        <v>418631</v>
      </c>
      <c r="AJ3" s="7"/>
      <c r="AK3" s="7"/>
      <c r="AL3" s="12">
        <f>AH3-AG3</f>
        <v>413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505512</v>
      </c>
      <c r="AU3" s="7"/>
      <c r="AV3" s="3" t="s">
        <v>9</v>
      </c>
      <c r="AW3" s="13">
        <f>AF7+AF10+AF13</f>
        <v>1337</v>
      </c>
      <c r="AX3" s="3"/>
    </row>
    <row r="4" spans="2:50" x14ac:dyDescent="0.25">
      <c r="D4" s="3"/>
      <c r="E4" s="3" t="s">
        <v>11</v>
      </c>
      <c r="F4" s="7">
        <v>313407.03000000003</v>
      </c>
      <c r="G4" s="7">
        <v>313507.31</v>
      </c>
      <c r="H4" s="7">
        <v>313507.31</v>
      </c>
      <c r="I4" s="7"/>
      <c r="J4" s="7"/>
      <c r="K4" s="12">
        <f t="shared" ref="K4:K6" si="0">G4-F4</f>
        <v>100.27999999996973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129260.91999996098</v>
      </c>
      <c r="T4" s="7"/>
      <c r="U4" s="3" t="s">
        <v>12</v>
      </c>
      <c r="V4" s="13">
        <f>E16</f>
        <v>787.34999999997672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313444</v>
      </c>
      <c r="AH4" s="7">
        <v>313545</v>
      </c>
      <c r="AI4" s="7">
        <v>313545</v>
      </c>
      <c r="AJ4" s="7"/>
      <c r="AK4" s="7"/>
      <c r="AL4" s="12">
        <f t="shared" ref="AL4:AL6" si="4">AH4-AG4</f>
        <v>101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123624</v>
      </c>
      <c r="AU4" s="7"/>
      <c r="AV4" s="3" t="s">
        <v>12</v>
      </c>
      <c r="AW4" s="13">
        <f>AF16</f>
        <v>787</v>
      </c>
      <c r="AX4" s="3"/>
    </row>
    <row r="5" spans="2:50" x14ac:dyDescent="0.25">
      <c r="D5" s="4"/>
      <c r="E5" s="3" t="s">
        <v>14</v>
      </c>
      <c r="F5" s="7">
        <v>321849.34999999998</v>
      </c>
      <c r="G5" s="7">
        <v>322027.63</v>
      </c>
      <c r="H5" s="7">
        <v>322027.63</v>
      </c>
      <c r="I5" s="7"/>
      <c r="J5" s="7"/>
      <c r="K5" s="12">
        <f t="shared" si="0"/>
        <v>178.28000000002794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229802.92000003601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321888</v>
      </c>
      <c r="AH5" s="7">
        <v>322067</v>
      </c>
      <c r="AI5" s="7">
        <v>322067</v>
      </c>
      <c r="AJ5" s="7"/>
      <c r="AK5" s="7"/>
      <c r="AL5" s="12">
        <f t="shared" si="4"/>
        <v>179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219096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504429.51</v>
      </c>
      <c r="G6" s="7">
        <v>504609.77</v>
      </c>
      <c r="H6" s="7">
        <v>504609.77</v>
      </c>
      <c r="I6" s="7"/>
      <c r="J6" s="7"/>
      <c r="K6" s="12">
        <f t="shared" si="0"/>
        <v>180.26000000000931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232355.140000012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504468</v>
      </c>
      <c r="AH6" s="7">
        <v>504649</v>
      </c>
      <c r="AI6" s="7">
        <v>504649</v>
      </c>
      <c r="AJ6" s="7"/>
      <c r="AK6" s="7"/>
      <c r="AL6" s="12">
        <f t="shared" si="4"/>
        <v>181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221544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871.69000000000233</v>
      </c>
      <c r="F7" s="3"/>
      <c r="G7" s="3"/>
      <c r="H7" s="3"/>
      <c r="I7" s="3"/>
      <c r="J7" s="3"/>
      <c r="K7" s="22">
        <f>SUM(K3:K6)</f>
        <v>871.69000000000233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>
        <v>11150</v>
      </c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874</v>
      </c>
      <c r="AG7" s="3"/>
      <c r="AH7" s="3"/>
      <c r="AI7" s="3"/>
      <c r="AJ7" s="3"/>
      <c r="AK7" s="3"/>
      <c r="AL7" s="22">
        <f>SUM(AL3:AL6)</f>
        <v>874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>
        <v>11150</v>
      </c>
      <c r="AX7" s="3"/>
    </row>
    <row r="8" spans="2:50" x14ac:dyDescent="0.25">
      <c r="D8" s="21"/>
      <c r="E8" s="3" t="s">
        <v>21</v>
      </c>
      <c r="F8" s="7">
        <v>365889.33</v>
      </c>
      <c r="G8" s="7">
        <v>366087.5</v>
      </c>
      <c r="H8" s="7">
        <v>366087.5</v>
      </c>
      <c r="I8" s="7"/>
      <c r="J8" s="7"/>
      <c r="K8" s="12">
        <f t="shared" ref="K8:K9" si="9">G8-F8</f>
        <v>198.1699999999837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255441.12999997899</v>
      </c>
      <c r="T8" s="7"/>
      <c r="U8" s="8" t="s">
        <v>11</v>
      </c>
      <c r="V8" s="23">
        <v>15450</v>
      </c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480267</v>
      </c>
      <c r="AH8" s="7">
        <v>480465</v>
      </c>
      <c r="AI8" s="7">
        <v>480465</v>
      </c>
      <c r="AJ8" s="7"/>
      <c r="AK8" s="7"/>
      <c r="AL8" s="12">
        <f t="shared" ref="AL8:AL9" si="12">AH8-AG8</f>
        <v>198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242352</v>
      </c>
      <c r="AU8" s="7"/>
      <c r="AV8" s="24" t="s">
        <v>11</v>
      </c>
      <c r="AW8" s="23">
        <v>15450</v>
      </c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>
        <v>4250</v>
      </c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>
        <v>4250</v>
      </c>
      <c r="AX9" s="3"/>
    </row>
    <row r="10" spans="2:50" x14ac:dyDescent="0.25">
      <c r="D10" s="21" t="s">
        <v>23</v>
      </c>
      <c r="E10" s="2">
        <f>K10+M10+O10+Q10</f>
        <v>198.1699999999837</v>
      </c>
      <c r="F10" s="3"/>
      <c r="G10" s="3"/>
      <c r="H10" s="3"/>
      <c r="I10" s="3"/>
      <c r="J10" s="3"/>
      <c r="K10" s="22">
        <f>SUM(K8:K9)</f>
        <v>198.1699999999837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198</v>
      </c>
      <c r="AG10" s="3"/>
      <c r="AH10" s="3"/>
      <c r="AI10" s="3"/>
      <c r="AJ10" s="3"/>
      <c r="AK10" s="3"/>
      <c r="AL10" s="22">
        <f>SUM(AL8:AL9)</f>
        <v>198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476054.96</v>
      </c>
      <c r="G11" s="7">
        <v>476197.92</v>
      </c>
      <c r="H11" s="7">
        <v>476197.92</v>
      </c>
      <c r="I11" s="7"/>
      <c r="J11" s="7"/>
      <c r="K11" s="12">
        <f t="shared" ref="K11:K14" si="17">G11-F11</f>
        <v>142.95999999996275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184275.43999995198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476092</v>
      </c>
      <c r="AH11" s="7">
        <v>476235</v>
      </c>
      <c r="AI11" s="7">
        <v>476235</v>
      </c>
      <c r="AJ11" s="7"/>
      <c r="AK11" s="7"/>
      <c r="AL11" s="12">
        <f t="shared" ref="AL11:AL12" si="20">AH11-AG11</f>
        <v>143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175032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540301.06999999995</v>
      </c>
      <c r="G12" s="7">
        <v>540423.44999999995</v>
      </c>
      <c r="H12" s="7">
        <v>540423.44999999995</v>
      </c>
      <c r="I12" s="7"/>
      <c r="J12" s="7"/>
      <c r="K12" s="12">
        <f t="shared" si="17"/>
        <v>122.38000000000466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157747.820000006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540341</v>
      </c>
      <c r="AH12" s="7">
        <v>540463</v>
      </c>
      <c r="AI12" s="7">
        <v>540463</v>
      </c>
      <c r="AJ12" s="7"/>
      <c r="AK12" s="7"/>
      <c r="AL12" s="12">
        <f t="shared" si="20"/>
        <v>122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149328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265.3399999999674</v>
      </c>
      <c r="F13" s="3"/>
      <c r="G13" s="3"/>
      <c r="H13" s="3"/>
      <c r="I13" s="3"/>
      <c r="J13" s="3"/>
      <c r="K13" s="22">
        <f>SUM(K11:K12)</f>
        <v>265.3399999999674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265</v>
      </c>
      <c r="AG13" s="3"/>
      <c r="AH13" s="3"/>
      <c r="AI13" s="3"/>
      <c r="AJ13" s="3"/>
      <c r="AK13" s="3"/>
      <c r="AL13" s="22">
        <f>SUM(AL11:AL12)</f>
        <v>265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459063.58</v>
      </c>
      <c r="G14" s="7">
        <v>459850.93</v>
      </c>
      <c r="H14" s="7">
        <v>459850.93</v>
      </c>
      <c r="I14" s="7"/>
      <c r="J14" s="7"/>
      <c r="K14" s="12">
        <f t="shared" si="17"/>
        <v>787.34999999997672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1471557.1499999566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459093</v>
      </c>
      <c r="AH14" s="7">
        <v>459880</v>
      </c>
      <c r="AI14" s="7">
        <v>459880</v>
      </c>
      <c r="AJ14" s="7"/>
      <c r="AK14" s="7"/>
      <c r="AL14" s="12">
        <f t="shared" ref="AL14" si="24">AH14-AG14</f>
        <v>787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1470903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787.34999999997672</v>
      </c>
      <c r="F16" s="3"/>
      <c r="G16" s="3"/>
      <c r="H16" s="3"/>
      <c r="I16" s="7"/>
      <c r="K16" s="22">
        <f>SUM(K14:K15)</f>
        <v>787.34999999997672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787</v>
      </c>
      <c r="AG16" s="32"/>
      <c r="AH16" s="32"/>
      <c r="AI16" s="32"/>
      <c r="AJ16" s="7"/>
      <c r="AL16" s="22">
        <f>SUM(AL14:AL15)</f>
        <v>787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3192629.9499998963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3107391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850</v>
      </c>
      <c r="G20" s="35">
        <v>11650</v>
      </c>
      <c r="H20" s="36">
        <f>F20+V7-G20</f>
        <v>350</v>
      </c>
      <c r="I20" s="36">
        <f>E13-H20</f>
        <v>-84.660000000032596</v>
      </c>
      <c r="J20" s="37">
        <f>E13*0.085</f>
        <v>22.553899999997231</v>
      </c>
      <c r="K20" s="38">
        <f>I20-J20</f>
        <v>-107.21390000002982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850</v>
      </c>
      <c r="AH20" s="35">
        <v>11650</v>
      </c>
      <c r="AI20" s="36">
        <f>AG20+AW7-AH20</f>
        <v>350</v>
      </c>
      <c r="AJ20" s="36">
        <f>AF13-AI20</f>
        <v>-85</v>
      </c>
      <c r="AK20" s="37">
        <f>AF13*0.085</f>
        <v>22.525000000000002</v>
      </c>
      <c r="AL20" s="38">
        <f>AJ20-AK20</f>
        <v>-107.52500000000001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100</v>
      </c>
      <c r="G21" s="35">
        <v>14600</v>
      </c>
      <c r="H21" s="36">
        <f>F21+V8-G21</f>
        <v>950</v>
      </c>
      <c r="I21" s="36">
        <f>E7-H21</f>
        <v>-78.309999999997672</v>
      </c>
      <c r="J21" s="37">
        <f>E7*0.085</f>
        <v>74.09365000000021</v>
      </c>
      <c r="K21" s="38">
        <f>I21-J21</f>
        <v>-152.40364999999787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100</v>
      </c>
      <c r="AH21" s="35">
        <v>14600</v>
      </c>
      <c r="AI21" s="36">
        <f>AG21+AW8-AH21</f>
        <v>950</v>
      </c>
      <c r="AJ21" s="36">
        <f>AF7-AI21</f>
        <v>-76</v>
      </c>
      <c r="AK21" s="37">
        <f>AF7*0.085</f>
        <v>74.290000000000006</v>
      </c>
      <c r="AL21" s="38">
        <f>AJ21-AK21</f>
        <v>-150.29000000000002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200</v>
      </c>
      <c r="G22" s="35">
        <v>4400</v>
      </c>
      <c r="H22" s="36">
        <f>F22+V9-G22</f>
        <v>50</v>
      </c>
      <c r="I22" s="36">
        <f>E10-H22</f>
        <v>148.1699999999837</v>
      </c>
      <c r="J22" s="37">
        <f>E10*0.085</f>
        <v>16.844449999998616</v>
      </c>
      <c r="K22" s="38">
        <f>I22-J22</f>
        <v>131.32554999998507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200</v>
      </c>
      <c r="AH22" s="35">
        <v>4400</v>
      </c>
      <c r="AI22" s="36">
        <f>AG22+AW9-AH22</f>
        <v>50</v>
      </c>
      <c r="AJ22" s="36">
        <f>AF10-AI22</f>
        <v>148</v>
      </c>
      <c r="AK22" s="37">
        <f>AF10*0.085</f>
        <v>16.830000000000002</v>
      </c>
      <c r="AL22" s="38">
        <f>AJ22-AK22</f>
        <v>131.16999999999999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28300</v>
      </c>
      <c r="G23" s="35">
        <v>27500</v>
      </c>
      <c r="H23" s="36">
        <f>F23+V10-G23</f>
        <v>800</v>
      </c>
      <c r="I23" s="36">
        <f>E16-H23</f>
        <v>-12.650000000023283</v>
      </c>
      <c r="J23" s="37">
        <f>E16*0.085</f>
        <v>66.924749999998028</v>
      </c>
      <c r="K23" s="38">
        <f>I23-J23</f>
        <v>-79.574750000021311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28300</v>
      </c>
      <c r="AH23" s="35">
        <v>27500</v>
      </c>
      <c r="AI23" s="36">
        <f>AG23+AW10-AH23</f>
        <v>800</v>
      </c>
      <c r="AJ23" s="36">
        <f>AF16-AI23</f>
        <v>-13</v>
      </c>
      <c r="AK23" s="37">
        <f>AF16*0.085</f>
        <v>66.89500000000001</v>
      </c>
      <c r="AL23" s="38">
        <f>AJ23-AK23</f>
        <v>-79.89500000000001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332050</v>
      </c>
      <c r="C26" s="46">
        <v>31300</v>
      </c>
      <c r="D26" s="17">
        <v>360700</v>
      </c>
      <c r="E26" s="17">
        <v>0</v>
      </c>
      <c r="F26" s="17">
        <v>0</v>
      </c>
      <c r="G26" s="46">
        <v>0</v>
      </c>
      <c r="H26" s="46">
        <v>144000</v>
      </c>
      <c r="I26" s="46">
        <v>0</v>
      </c>
      <c r="J26" s="46">
        <v>2142605.35</v>
      </c>
      <c r="K26" s="46">
        <v>217000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5145570.12</v>
      </c>
      <c r="R26" s="47">
        <f>SUM(S17-W23-B26-C26-D26-E26-F26-G26-H26-I26-J26-K26-L26-M26-N26-O26-P26+Q26)</f>
        <v>5110544.7199998964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8" workbookViewId="0">
      <selection activeCell="C29" sqref="C29"/>
    </sheetView>
  </sheetViews>
  <sheetFormatPr defaultRowHeight="15" x14ac:dyDescent="0.25"/>
  <cols>
    <col min="9" max="9" width="10" bestFit="1" customWidth="1"/>
    <col min="17" max="17" width="10" bestFit="1" customWidth="1"/>
    <col min="18" max="18" width="12.28515625" bestFit="1" customWidth="1"/>
    <col min="19" max="19" width="11.140625" bestFit="1" customWidth="1"/>
  </cols>
  <sheetData>
    <row r="1" spans="2:50" x14ac:dyDescent="0.25">
      <c r="B1" s="1">
        <v>46271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418597.89</v>
      </c>
      <c r="G3" s="7">
        <v>419273.2</v>
      </c>
      <c r="H3" s="7">
        <v>419273.2</v>
      </c>
      <c r="I3" s="7"/>
      <c r="J3" s="7"/>
      <c r="K3" s="12">
        <f>G3-F3</f>
        <v>675.30999999999767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870474.58999999706</v>
      </c>
      <c r="T3" s="7"/>
      <c r="U3" s="3" t="s">
        <v>9</v>
      </c>
      <c r="V3" s="13">
        <f>E7+E10+E13</f>
        <v>3902.4900000000489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418631</v>
      </c>
      <c r="AH3" s="7">
        <v>419306</v>
      </c>
      <c r="AI3" s="7">
        <v>419306</v>
      </c>
      <c r="AJ3" s="7"/>
      <c r="AK3" s="7"/>
      <c r="AL3" s="12">
        <f>AH3-AG3</f>
        <v>675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826200</v>
      </c>
      <c r="AU3" s="7"/>
      <c r="AV3" s="3" t="s">
        <v>9</v>
      </c>
      <c r="AW3" s="13">
        <f>AF7+AF10+AF13</f>
        <v>3902</v>
      </c>
      <c r="AX3" s="3"/>
    </row>
    <row r="4" spans="2:50" x14ac:dyDescent="0.25">
      <c r="D4" s="3"/>
      <c r="E4" s="3" t="s">
        <v>11</v>
      </c>
      <c r="F4" s="7">
        <v>313507.31</v>
      </c>
      <c r="G4" s="7">
        <v>313978.63</v>
      </c>
      <c r="H4" s="7">
        <v>313978.63</v>
      </c>
      <c r="I4" s="7"/>
      <c r="J4" s="7"/>
      <c r="K4" s="12">
        <f t="shared" ref="K4:K6" si="0">G4-F4</f>
        <v>471.32000000000698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607531.48000000906</v>
      </c>
      <c r="T4" s="7"/>
      <c r="U4" s="3" t="s">
        <v>12</v>
      </c>
      <c r="V4" s="13">
        <f>E16</f>
        <v>509.35999999998603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313545</v>
      </c>
      <c r="AH4" s="7">
        <v>314016</v>
      </c>
      <c r="AI4" s="7">
        <v>314016</v>
      </c>
      <c r="AJ4" s="7"/>
      <c r="AK4" s="7"/>
      <c r="AL4" s="12">
        <f t="shared" ref="AL4:AL6" si="4">AH4-AG4</f>
        <v>471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576504</v>
      </c>
      <c r="AU4" s="7"/>
      <c r="AV4" s="3" t="s">
        <v>12</v>
      </c>
      <c r="AW4" s="13">
        <f>AF16</f>
        <v>510</v>
      </c>
      <c r="AX4" s="3"/>
    </row>
    <row r="5" spans="2:50" x14ac:dyDescent="0.25">
      <c r="D5" s="4"/>
      <c r="E5" s="3" t="s">
        <v>14</v>
      </c>
      <c r="F5" s="7">
        <v>322027.63</v>
      </c>
      <c r="G5" s="7">
        <v>322295.83</v>
      </c>
      <c r="H5" s="7">
        <v>322295.83</v>
      </c>
      <c r="I5" s="7"/>
      <c r="J5" s="7"/>
      <c r="K5" s="12">
        <f t="shared" si="0"/>
        <v>268.20000000001164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345709.80000001501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322067</v>
      </c>
      <c r="AH5" s="7">
        <v>322335</v>
      </c>
      <c r="AI5" s="7">
        <v>322335</v>
      </c>
      <c r="AJ5" s="7"/>
      <c r="AK5" s="7"/>
      <c r="AL5" s="12">
        <f t="shared" si="4"/>
        <v>268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328032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504609.77</v>
      </c>
      <c r="G6" s="7">
        <v>505478.68</v>
      </c>
      <c r="H6" s="7">
        <v>505478.68</v>
      </c>
      <c r="I6" s="7"/>
      <c r="J6" s="7"/>
      <c r="K6" s="12">
        <f t="shared" si="0"/>
        <v>868.90999999997439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1120024.9899999669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504649</v>
      </c>
      <c r="AH6" s="7">
        <v>505518</v>
      </c>
      <c r="AI6" s="7">
        <v>505518</v>
      </c>
      <c r="AJ6" s="7"/>
      <c r="AK6" s="7"/>
      <c r="AL6" s="12">
        <f t="shared" si="4"/>
        <v>869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1063656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2283.7399999999907</v>
      </c>
      <c r="F7" s="3"/>
      <c r="G7" s="3"/>
      <c r="H7" s="3"/>
      <c r="I7" s="3"/>
      <c r="J7" s="3"/>
      <c r="K7" s="22">
        <f>SUM(K3:K6)</f>
        <v>2283.7399999999907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2283</v>
      </c>
      <c r="AG7" s="3"/>
      <c r="AH7" s="3"/>
      <c r="AI7" s="3"/>
      <c r="AJ7" s="3"/>
      <c r="AK7" s="3"/>
      <c r="AL7" s="22">
        <f>SUM(AL3:AL6)</f>
        <v>2283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366087.5</v>
      </c>
      <c r="G8" s="7">
        <v>366965.28</v>
      </c>
      <c r="H8" s="7">
        <v>366965.28</v>
      </c>
      <c r="I8" s="7"/>
      <c r="J8" s="7"/>
      <c r="K8" s="12">
        <f t="shared" ref="K8:K9" si="9">G8-F8</f>
        <v>877.78000000002794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1131458.420000036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480465</v>
      </c>
      <c r="AH8" s="7">
        <v>481343</v>
      </c>
      <c r="AI8" s="7">
        <v>481343</v>
      </c>
      <c r="AJ8" s="7"/>
      <c r="AK8" s="7"/>
      <c r="AL8" s="12">
        <f t="shared" ref="AL8:AL9" si="12">AH8-AG8</f>
        <v>878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1074672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877.78000000002794</v>
      </c>
      <c r="F10" s="3"/>
      <c r="G10" s="3"/>
      <c r="H10" s="3"/>
      <c r="I10" s="3"/>
      <c r="J10" s="3"/>
      <c r="K10" s="22">
        <f>SUM(K8:K9)</f>
        <v>877.78000000002794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878</v>
      </c>
      <c r="AG10" s="3"/>
      <c r="AH10" s="3"/>
      <c r="AI10" s="3"/>
      <c r="AJ10" s="3"/>
      <c r="AK10" s="3"/>
      <c r="AL10" s="22">
        <f>SUM(AL8:AL9)</f>
        <v>878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476197.92</v>
      </c>
      <c r="G11" s="7">
        <v>476428.15</v>
      </c>
      <c r="H11" s="7">
        <v>476428.15</v>
      </c>
      <c r="I11" s="7"/>
      <c r="J11" s="7"/>
      <c r="K11" s="12">
        <f t="shared" ref="K11:K14" si="17">G11-F11</f>
        <v>230.23000000003958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296766.47000005102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476235</v>
      </c>
      <c r="AH11" s="7">
        <v>476465</v>
      </c>
      <c r="AI11" s="7">
        <v>476465</v>
      </c>
      <c r="AJ11" s="7"/>
      <c r="AK11" s="7"/>
      <c r="AL11" s="12">
        <f t="shared" ref="AL11:AL12" si="20">AH11-AG11</f>
        <v>230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281520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540423.44999999995</v>
      </c>
      <c r="G12" s="7">
        <v>540934.18999999994</v>
      </c>
      <c r="H12" s="7">
        <v>540934.18999999994</v>
      </c>
      <c r="I12" s="7"/>
      <c r="J12" s="7"/>
      <c r="K12" s="12">
        <f t="shared" si="17"/>
        <v>510.73999999999069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658343.859999988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540463</v>
      </c>
      <c r="AH12" s="7">
        <v>540974</v>
      </c>
      <c r="AI12" s="7">
        <v>540974</v>
      </c>
      <c r="AJ12" s="7"/>
      <c r="AK12" s="7"/>
      <c r="AL12" s="12">
        <f t="shared" si="20"/>
        <v>511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625464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740.97000000003027</v>
      </c>
      <c r="F13" s="3"/>
      <c r="G13" s="3"/>
      <c r="H13" s="3"/>
      <c r="I13" s="3"/>
      <c r="J13" s="3"/>
      <c r="K13" s="22">
        <f>SUM(K11:K12)</f>
        <v>740.97000000003027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741</v>
      </c>
      <c r="AG13" s="3"/>
      <c r="AH13" s="3"/>
      <c r="AI13" s="3"/>
      <c r="AJ13" s="3"/>
      <c r="AK13" s="3"/>
      <c r="AL13" s="22">
        <f>SUM(AL11:AL12)</f>
        <v>741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459850.93</v>
      </c>
      <c r="G14" s="7">
        <v>460360.29</v>
      </c>
      <c r="H14" s="7">
        <v>460360.29</v>
      </c>
      <c r="I14" s="7"/>
      <c r="J14" s="7"/>
      <c r="K14" s="12">
        <f t="shared" si="17"/>
        <v>509.35999999998603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951993.83999997389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459880</v>
      </c>
      <c r="AH14" s="7">
        <v>460390</v>
      </c>
      <c r="AI14" s="7">
        <v>460390</v>
      </c>
      <c r="AJ14" s="7"/>
      <c r="AK14" s="7"/>
      <c r="AL14" s="12">
        <f t="shared" ref="AL14" si="24">AH14-AG14</f>
        <v>510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953190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509.35999999998603</v>
      </c>
      <c r="F16" s="3"/>
      <c r="G16" s="3"/>
      <c r="H16" s="3"/>
      <c r="I16" s="7"/>
      <c r="K16" s="22">
        <f>SUM(K14:K15)</f>
        <v>509.35999999998603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510</v>
      </c>
      <c r="AG16" s="32"/>
      <c r="AH16" s="32"/>
      <c r="AI16" s="32"/>
      <c r="AJ16" s="7"/>
      <c r="AL16" s="22">
        <f>SUM(AL14:AL15)</f>
        <v>510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5982303.4500000374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5729238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11650</v>
      </c>
      <c r="G20" s="35">
        <v>10950</v>
      </c>
      <c r="H20" s="36">
        <f>F20+V7-G20</f>
        <v>700</v>
      </c>
      <c r="I20" s="36">
        <f>E13-H20</f>
        <v>40.970000000030268</v>
      </c>
      <c r="J20" s="37">
        <f>E13*0.085</f>
        <v>62.982450000002579</v>
      </c>
      <c r="K20" s="38">
        <f>I20-J20</f>
        <v>-22.012449999972311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11650</v>
      </c>
      <c r="AH20" s="35">
        <v>10950</v>
      </c>
      <c r="AI20" s="36">
        <f>AG20+AW7-AH20</f>
        <v>700</v>
      </c>
      <c r="AJ20" s="36">
        <f>AF13-AI20</f>
        <v>41</v>
      </c>
      <c r="AK20" s="37">
        <f>AF13*0.085</f>
        <v>62.985000000000007</v>
      </c>
      <c r="AL20" s="38">
        <f>AJ20-AK20</f>
        <v>-21.985000000000007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14600</v>
      </c>
      <c r="G21" s="35">
        <v>12400</v>
      </c>
      <c r="H21" s="36">
        <f>F21+V8-G21</f>
        <v>2200</v>
      </c>
      <c r="I21" s="36">
        <f>E7-H21</f>
        <v>83.739999999990687</v>
      </c>
      <c r="J21" s="37">
        <f>E7*0.085</f>
        <v>194.11789999999922</v>
      </c>
      <c r="K21" s="38">
        <f>I21-J21</f>
        <v>-110.37790000000854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14600</v>
      </c>
      <c r="AH21" s="35">
        <v>12400</v>
      </c>
      <c r="AI21" s="36">
        <f>AG21+AW8-AH21</f>
        <v>2200</v>
      </c>
      <c r="AJ21" s="36">
        <f>AF7-AI21</f>
        <v>83</v>
      </c>
      <c r="AK21" s="37">
        <f>AF7*0.085</f>
        <v>194.05500000000001</v>
      </c>
      <c r="AL21" s="38">
        <f>AJ21-AK21</f>
        <v>-111.05500000000001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4400</v>
      </c>
      <c r="G22" s="35">
        <v>3500</v>
      </c>
      <c r="H22" s="36">
        <f>F22+V9-G22</f>
        <v>900</v>
      </c>
      <c r="I22" s="36">
        <f>E10-H22</f>
        <v>-22.21999999997206</v>
      </c>
      <c r="J22" s="37">
        <f>E10*0.085</f>
        <v>74.611300000002373</v>
      </c>
      <c r="K22" s="38">
        <f>I22-J22</f>
        <v>-96.831299999974433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4400</v>
      </c>
      <c r="AH22" s="35">
        <v>3500</v>
      </c>
      <c r="AI22" s="36">
        <f>AG22+AW9-AH22</f>
        <v>900</v>
      </c>
      <c r="AJ22" s="36">
        <f>AF10-AI22</f>
        <v>-22</v>
      </c>
      <c r="AK22" s="37">
        <f>AF10*0.085</f>
        <v>74.63000000000001</v>
      </c>
      <c r="AL22" s="38">
        <f>AJ22-AK22</f>
        <v>-96.63000000000001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27500</v>
      </c>
      <c r="G23" s="35">
        <v>27100</v>
      </c>
      <c r="H23" s="36">
        <f>F23+V10-G23</f>
        <v>400</v>
      </c>
      <c r="I23" s="36">
        <f>E16-H23</f>
        <v>109.35999999998603</v>
      </c>
      <c r="J23" s="37">
        <f>E16*0.085</f>
        <v>43.295599999998814</v>
      </c>
      <c r="K23" s="38">
        <f>I23-J23</f>
        <v>66.064399999987216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27500</v>
      </c>
      <c r="AH23" s="35">
        <v>27100</v>
      </c>
      <c r="AI23" s="36">
        <f>AG23+AW10-AH23</f>
        <v>400</v>
      </c>
      <c r="AJ23" s="36">
        <f>AF16-AI23</f>
        <v>110</v>
      </c>
      <c r="AK23" s="37">
        <f>AF16*0.085</f>
        <v>43.35</v>
      </c>
      <c r="AL23" s="38">
        <f>AJ23-AK23</f>
        <v>66.650000000000006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94000</v>
      </c>
      <c r="C26" s="46">
        <v>348645</v>
      </c>
      <c r="D26" s="17">
        <v>0</v>
      </c>
      <c r="E26" s="17">
        <v>0</v>
      </c>
      <c r="F26" s="17">
        <v>0</v>
      </c>
      <c r="G26" s="46">
        <v>268107</v>
      </c>
      <c r="H26" s="46">
        <v>0</v>
      </c>
      <c r="I26" s="46">
        <v>4164155</v>
      </c>
      <c r="J26" s="46">
        <v>0</v>
      </c>
      <c r="K26" s="46">
        <v>0</v>
      </c>
      <c r="L26" s="46">
        <v>0</v>
      </c>
      <c r="M26" s="46">
        <v>0</v>
      </c>
      <c r="N26" s="46">
        <v>218650</v>
      </c>
      <c r="O26" s="46">
        <v>0</v>
      </c>
      <c r="P26" s="46">
        <v>327600</v>
      </c>
      <c r="Q26" s="46">
        <v>5110544.72</v>
      </c>
      <c r="R26" s="47">
        <f>SUM(S17-W23-B26-C26-D26-E26-F26-G26-H26-I26-J26-K26-L26-M26-N26-O26-P26+Q26)</f>
        <v>5671691.1700000372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E7" workbookViewId="0">
      <selection activeCell="P28" sqref="P28"/>
    </sheetView>
  </sheetViews>
  <sheetFormatPr defaultRowHeight="15" x14ac:dyDescent="0.25"/>
  <cols>
    <col min="10" max="10" width="10" bestFit="1" customWidth="1"/>
    <col min="17" max="17" width="10" bestFit="1" customWidth="1"/>
    <col min="18" max="18" width="12.28515625" bestFit="1" customWidth="1"/>
    <col min="19" max="19" width="11.140625" bestFit="1" customWidth="1"/>
  </cols>
  <sheetData>
    <row r="1" spans="2:50" x14ac:dyDescent="0.25">
      <c r="B1" s="1">
        <v>46272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419273.2</v>
      </c>
      <c r="G3" s="7">
        <v>420172.58</v>
      </c>
      <c r="H3" s="7">
        <v>420172.58</v>
      </c>
      <c r="I3" s="7"/>
      <c r="J3" s="7"/>
      <c r="K3" s="12">
        <f>G3-F3</f>
        <v>899.38000000000466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1159300.8200000059</v>
      </c>
      <c r="T3" s="7"/>
      <c r="U3" s="3" t="s">
        <v>9</v>
      </c>
      <c r="V3" s="13">
        <f>E7+E10+E13</f>
        <v>4577.8799999999464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419306</v>
      </c>
      <c r="AH3" s="7">
        <v>420206</v>
      </c>
      <c r="AI3" s="7">
        <v>420206</v>
      </c>
      <c r="AJ3" s="7"/>
      <c r="AK3" s="7"/>
      <c r="AL3" s="12">
        <f>AH3-AG3</f>
        <v>900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1101600</v>
      </c>
      <c r="AU3" s="7"/>
      <c r="AV3" s="3" t="s">
        <v>9</v>
      </c>
      <c r="AW3" s="13">
        <f>AF7+AF10+AF13</f>
        <v>4579</v>
      </c>
      <c r="AX3" s="3"/>
    </row>
    <row r="4" spans="2:50" x14ac:dyDescent="0.25">
      <c r="D4" s="3"/>
      <c r="E4" s="3" t="s">
        <v>11</v>
      </c>
      <c r="F4" s="7">
        <v>313978.63</v>
      </c>
      <c r="G4" s="7">
        <v>314395.42</v>
      </c>
      <c r="H4" s="7">
        <v>314395.42</v>
      </c>
      <c r="I4" s="7"/>
      <c r="J4" s="7"/>
      <c r="K4" s="12">
        <f t="shared" ref="K4:K6" si="0">G4-F4</f>
        <v>416.78999999997905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537242.30999997305</v>
      </c>
      <c r="T4" s="7"/>
      <c r="U4" s="3" t="s">
        <v>12</v>
      </c>
      <c r="V4" s="13">
        <f>E16</f>
        <v>417.13000000000466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314016</v>
      </c>
      <c r="AH4" s="7">
        <v>314433</v>
      </c>
      <c r="AI4" s="7">
        <v>314433</v>
      </c>
      <c r="AJ4" s="7"/>
      <c r="AK4" s="7"/>
      <c r="AL4" s="12">
        <f t="shared" ref="AL4:AL6" si="4">AH4-AG4</f>
        <v>417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510408</v>
      </c>
      <c r="AU4" s="7"/>
      <c r="AV4" s="3" t="s">
        <v>12</v>
      </c>
      <c r="AW4" s="13">
        <f>AF16</f>
        <v>417</v>
      </c>
      <c r="AX4" s="3"/>
    </row>
    <row r="5" spans="2:50" x14ac:dyDescent="0.25">
      <c r="D5" s="4"/>
      <c r="E5" s="3" t="s">
        <v>14</v>
      </c>
      <c r="F5" s="7">
        <v>322295.83</v>
      </c>
      <c r="G5" s="7">
        <v>322810.65999999997</v>
      </c>
      <c r="H5" s="7">
        <v>322810.65999999997</v>
      </c>
      <c r="I5" s="7"/>
      <c r="J5" s="7"/>
      <c r="K5" s="12">
        <f t="shared" si="0"/>
        <v>514.82999999995809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663615.86999994598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322335</v>
      </c>
      <c r="AH5" s="7">
        <v>322850</v>
      </c>
      <c r="AI5" s="7">
        <v>322850</v>
      </c>
      <c r="AJ5" s="7"/>
      <c r="AK5" s="7"/>
      <c r="AL5" s="12">
        <f t="shared" si="4"/>
        <v>515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630360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505478.68</v>
      </c>
      <c r="G6" s="7">
        <v>506416.67</v>
      </c>
      <c r="H6" s="7">
        <v>506416.67</v>
      </c>
      <c r="I6" s="7"/>
      <c r="J6" s="7"/>
      <c r="K6" s="12">
        <f t="shared" si="0"/>
        <v>937.98999999999069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1209069.109999988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505518</v>
      </c>
      <c r="AH6" s="7">
        <v>506456</v>
      </c>
      <c r="AI6" s="7">
        <v>506456</v>
      </c>
      <c r="AJ6" s="7"/>
      <c r="AK6" s="7"/>
      <c r="AL6" s="12">
        <f t="shared" si="4"/>
        <v>938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1148112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2768.9899999999325</v>
      </c>
      <c r="F7" s="3"/>
      <c r="G7" s="3"/>
      <c r="H7" s="3"/>
      <c r="I7" s="3"/>
      <c r="J7" s="3"/>
      <c r="K7" s="22">
        <f>SUM(K3:K6)</f>
        <v>2768.9899999999325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2770</v>
      </c>
      <c r="AG7" s="3"/>
      <c r="AH7" s="3"/>
      <c r="AI7" s="3"/>
      <c r="AJ7" s="3"/>
      <c r="AK7" s="3"/>
      <c r="AL7" s="22">
        <f>SUM(AL3:AL6)</f>
        <v>2770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366965.28</v>
      </c>
      <c r="G8" s="7">
        <v>367608.1</v>
      </c>
      <c r="H8" s="7">
        <v>367608.1</v>
      </c>
      <c r="I8" s="7"/>
      <c r="J8" s="7"/>
      <c r="K8" s="12">
        <f t="shared" ref="K8:K9" si="9">G8-F8</f>
        <v>642.81999999994878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828594.97999993397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481343</v>
      </c>
      <c r="AH8" s="7">
        <v>481986</v>
      </c>
      <c r="AI8" s="7">
        <v>481986</v>
      </c>
      <c r="AJ8" s="7"/>
      <c r="AK8" s="7"/>
      <c r="AL8" s="12">
        <f t="shared" ref="AL8:AL9" si="12">AH8-AG8</f>
        <v>643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787032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642.81999999994878</v>
      </c>
      <c r="F10" s="3"/>
      <c r="G10" s="3"/>
      <c r="H10" s="3"/>
      <c r="I10" s="3"/>
      <c r="J10" s="3"/>
      <c r="K10" s="22">
        <f>SUM(K8:K9)</f>
        <v>642.81999999994878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643</v>
      </c>
      <c r="AG10" s="3"/>
      <c r="AH10" s="3"/>
      <c r="AI10" s="3"/>
      <c r="AJ10" s="3"/>
      <c r="AK10" s="3"/>
      <c r="AL10" s="22">
        <f>SUM(AL8:AL9)</f>
        <v>643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476428.15</v>
      </c>
      <c r="G11" s="7">
        <v>476987.39</v>
      </c>
      <c r="H11" s="7">
        <v>476987.39</v>
      </c>
      <c r="I11" s="7"/>
      <c r="J11" s="7"/>
      <c r="K11" s="12">
        <f t="shared" ref="K11:K14" si="17">G11-F11</f>
        <v>559.23999999999069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720860.359999988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476465</v>
      </c>
      <c r="AH11" s="7">
        <v>477024</v>
      </c>
      <c r="AI11" s="7">
        <v>477024</v>
      </c>
      <c r="AJ11" s="7"/>
      <c r="AK11" s="7"/>
      <c r="AL11" s="12">
        <f t="shared" ref="AL11:AL12" si="20">AH11-AG11</f>
        <v>559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684216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540934.18999999994</v>
      </c>
      <c r="G12" s="7">
        <v>541541.02</v>
      </c>
      <c r="H12" s="7">
        <v>541541.02</v>
      </c>
      <c r="I12" s="7"/>
      <c r="J12" s="7"/>
      <c r="K12" s="12">
        <f t="shared" si="17"/>
        <v>606.83000000007451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782203.87000009604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540974</v>
      </c>
      <c r="AH12" s="7">
        <v>541581</v>
      </c>
      <c r="AI12" s="7">
        <v>541581</v>
      </c>
      <c r="AJ12" s="7"/>
      <c r="AK12" s="7"/>
      <c r="AL12" s="12">
        <f t="shared" si="20"/>
        <v>607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742968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1166.0700000000652</v>
      </c>
      <c r="F13" s="3"/>
      <c r="G13" s="3"/>
      <c r="H13" s="3"/>
      <c r="I13" s="3"/>
      <c r="J13" s="3"/>
      <c r="K13" s="22">
        <f>SUM(K11:K12)</f>
        <v>1166.0700000000652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1166</v>
      </c>
      <c r="AG13" s="3"/>
      <c r="AH13" s="3"/>
      <c r="AI13" s="3"/>
      <c r="AJ13" s="3"/>
      <c r="AK13" s="3"/>
      <c r="AL13" s="22">
        <f>SUM(AL11:AL12)</f>
        <v>1166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460360.29</v>
      </c>
      <c r="G14" s="7">
        <v>460777.42</v>
      </c>
      <c r="H14" s="7">
        <v>460777.42</v>
      </c>
      <c r="I14" s="7"/>
      <c r="J14" s="7"/>
      <c r="K14" s="12">
        <f t="shared" si="17"/>
        <v>417.13000000000466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779615.9700000087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460390</v>
      </c>
      <c r="AH14" s="7">
        <v>460807</v>
      </c>
      <c r="AI14" s="7">
        <v>460807</v>
      </c>
      <c r="AJ14" s="7"/>
      <c r="AK14" s="7"/>
      <c r="AL14" s="12">
        <f t="shared" ref="AL14" si="24">AH14-AG14</f>
        <v>417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779373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417.13000000000466</v>
      </c>
      <c r="F16" s="3"/>
      <c r="G16" s="3"/>
      <c r="H16" s="3"/>
      <c r="I16" s="7"/>
      <c r="K16" s="22">
        <f>SUM(K14:K15)</f>
        <v>417.13000000000466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417</v>
      </c>
      <c r="AG16" s="32"/>
      <c r="AH16" s="32"/>
      <c r="AI16" s="32"/>
      <c r="AJ16" s="7"/>
      <c r="AL16" s="22">
        <f>SUM(AL14:AL15)</f>
        <v>417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6680503.2899999404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6384069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10950</v>
      </c>
      <c r="G20" s="35">
        <v>9700</v>
      </c>
      <c r="H20" s="36">
        <f>F20+V7-G20</f>
        <v>1250</v>
      </c>
      <c r="I20" s="36">
        <f>E13-H20</f>
        <v>-83.929999999934807</v>
      </c>
      <c r="J20" s="37">
        <f>E13*0.085</f>
        <v>99.115950000005554</v>
      </c>
      <c r="K20" s="38">
        <f>I20-J20</f>
        <v>-183.04594999994038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10950</v>
      </c>
      <c r="AH20" s="35">
        <v>9700</v>
      </c>
      <c r="AI20" s="36">
        <f>AG20+AW7-AH20</f>
        <v>1250</v>
      </c>
      <c r="AJ20" s="36">
        <f>AF13-AI20</f>
        <v>-84</v>
      </c>
      <c r="AK20" s="37">
        <f>AF13*0.085</f>
        <v>99.110000000000014</v>
      </c>
      <c r="AL20" s="38">
        <f>AJ20-AK20</f>
        <v>-183.11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12400</v>
      </c>
      <c r="G21" s="35">
        <v>9700</v>
      </c>
      <c r="H21" s="36">
        <f>F21+V8-G21</f>
        <v>2700</v>
      </c>
      <c r="I21" s="36">
        <f>E7-H21</f>
        <v>68.989999999932479</v>
      </c>
      <c r="J21" s="37">
        <f>E7*0.085</f>
        <v>235.36414999999428</v>
      </c>
      <c r="K21" s="38">
        <f>I21-J21</f>
        <v>-166.3741500000618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12400</v>
      </c>
      <c r="AH21" s="35">
        <v>9700</v>
      </c>
      <c r="AI21" s="36">
        <f>AG21+AW8-AH21</f>
        <v>2700</v>
      </c>
      <c r="AJ21" s="36">
        <f>AF7-AI21</f>
        <v>70</v>
      </c>
      <c r="AK21" s="37">
        <f>AF7*0.085</f>
        <v>235.45000000000002</v>
      </c>
      <c r="AL21" s="38">
        <f>AJ21-AK21</f>
        <v>-165.45000000000002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3500</v>
      </c>
      <c r="G22" s="35">
        <v>2900</v>
      </c>
      <c r="H22" s="36">
        <f>F22+V9-G22</f>
        <v>600</v>
      </c>
      <c r="I22" s="36">
        <f>E10-H22</f>
        <v>42.819999999948777</v>
      </c>
      <c r="J22" s="37">
        <f>E10*0.085</f>
        <v>54.639699999995649</v>
      </c>
      <c r="K22" s="38">
        <f>I22-J22</f>
        <v>-11.819700000046872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3500</v>
      </c>
      <c r="AH22" s="35">
        <v>2900</v>
      </c>
      <c r="AI22" s="36">
        <f>AG22+AW9-AH22</f>
        <v>600</v>
      </c>
      <c r="AJ22" s="36">
        <f>AF10-AI22</f>
        <v>43</v>
      </c>
      <c r="AK22" s="37">
        <f>AF10*0.085</f>
        <v>54.655000000000001</v>
      </c>
      <c r="AL22" s="38">
        <f>AJ22-AK22</f>
        <v>-11.655000000000001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27100</v>
      </c>
      <c r="G23" s="35">
        <v>26600</v>
      </c>
      <c r="H23" s="36">
        <f>F23+V10-G23</f>
        <v>500</v>
      </c>
      <c r="I23" s="36">
        <f>E16-H23</f>
        <v>-82.869999999995343</v>
      </c>
      <c r="J23" s="37">
        <f>E16*0.085</f>
        <v>35.456050000000396</v>
      </c>
      <c r="K23" s="38">
        <f>I23-J23</f>
        <v>-118.32604999999575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27100</v>
      </c>
      <c r="AH23" s="35">
        <v>26600</v>
      </c>
      <c r="AI23" s="36">
        <f>AG23+AW10-AH23</f>
        <v>500</v>
      </c>
      <c r="AJ23" s="36">
        <f>AF16-AI23</f>
        <v>-83</v>
      </c>
      <c r="AK23" s="37">
        <f>AF16*0.085</f>
        <v>35.445</v>
      </c>
      <c r="AL23" s="38">
        <f>AJ23-AK23</f>
        <v>-118.44499999999999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73300</v>
      </c>
      <c r="C26" s="46">
        <v>555898</v>
      </c>
      <c r="D26" s="17">
        <v>585165.72</v>
      </c>
      <c r="E26" s="17">
        <v>630400</v>
      </c>
      <c r="F26" s="17">
        <v>0</v>
      </c>
      <c r="G26" s="46">
        <v>0</v>
      </c>
      <c r="H26" s="46">
        <v>161050</v>
      </c>
      <c r="I26" s="46">
        <v>0</v>
      </c>
      <c r="J26" s="46">
        <v>3539610</v>
      </c>
      <c r="K26" s="46">
        <v>490738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5671691.1699999999</v>
      </c>
      <c r="R26" s="47">
        <f>SUM(S17-W23-B26-C26-D26-E26-F26-G26-H26-I26-J26-K26-L26-M26-N26-O26-P26+Q26)</f>
        <v>6316032.7399999406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7" workbookViewId="0">
      <selection activeCell="R26" sqref="R26"/>
    </sheetView>
  </sheetViews>
  <sheetFormatPr defaultRowHeight="15" x14ac:dyDescent="0.25"/>
  <cols>
    <col min="5" max="5" width="10" bestFit="1" customWidth="1"/>
    <col min="9" max="9" width="10" bestFit="1" customWidth="1"/>
    <col min="17" max="17" width="10" bestFit="1" customWidth="1"/>
    <col min="18" max="18" width="12.28515625" bestFit="1" customWidth="1"/>
    <col min="19" max="19" width="11.140625" bestFit="1" customWidth="1"/>
  </cols>
  <sheetData>
    <row r="1" spans="2:50" x14ac:dyDescent="0.25">
      <c r="B1" s="1">
        <v>46273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420172.58</v>
      </c>
      <c r="G3" s="7">
        <v>421102.67</v>
      </c>
      <c r="H3" s="7">
        <v>421102.67</v>
      </c>
      <c r="I3" s="7"/>
      <c r="J3" s="7"/>
      <c r="K3" s="12">
        <f>G3-F3</f>
        <v>930.0899999999674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1198886.0099999579</v>
      </c>
      <c r="T3" s="7"/>
      <c r="U3" s="3" t="s">
        <v>9</v>
      </c>
      <c r="V3" s="13">
        <f>E7+E10+E13</f>
        <v>4189.9099999999744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420206</v>
      </c>
      <c r="AH3" s="7">
        <v>421136</v>
      </c>
      <c r="AI3" s="7">
        <v>421136</v>
      </c>
      <c r="AJ3" s="7"/>
      <c r="AK3" s="7"/>
      <c r="AL3" s="12">
        <f>AH3-AG3</f>
        <v>930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1138320</v>
      </c>
      <c r="AU3" s="7"/>
      <c r="AV3" s="3" t="s">
        <v>9</v>
      </c>
      <c r="AW3" s="13">
        <f>AF7+AF10+AF13</f>
        <v>4191</v>
      </c>
      <c r="AX3" s="3"/>
    </row>
    <row r="4" spans="2:50" x14ac:dyDescent="0.25">
      <c r="D4" s="3"/>
      <c r="E4" s="3" t="s">
        <v>11</v>
      </c>
      <c r="F4" s="7">
        <v>314395.42</v>
      </c>
      <c r="G4" s="7">
        <v>314734.39</v>
      </c>
      <c r="H4" s="7">
        <v>314734.39</v>
      </c>
      <c r="I4" s="7"/>
      <c r="J4" s="7"/>
      <c r="K4" s="12">
        <f t="shared" ref="K4:K6" si="0">G4-F4</f>
        <v>338.97000000003027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436932.33000003902</v>
      </c>
      <c r="T4" s="7"/>
      <c r="U4" s="3" t="s">
        <v>12</v>
      </c>
      <c r="V4" s="13">
        <f>E16</f>
        <v>2412.6199999999953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314433</v>
      </c>
      <c r="AH4" s="7">
        <v>314772</v>
      </c>
      <c r="AI4" s="7">
        <v>314772</v>
      </c>
      <c r="AJ4" s="7"/>
      <c r="AK4" s="7"/>
      <c r="AL4" s="12">
        <f t="shared" ref="AL4:AL6" si="4">AH4-AG4</f>
        <v>339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414936</v>
      </c>
      <c r="AU4" s="7"/>
      <c r="AV4" s="3" t="s">
        <v>12</v>
      </c>
      <c r="AW4" s="13">
        <f>AF16</f>
        <v>2413</v>
      </c>
      <c r="AX4" s="3"/>
    </row>
    <row r="5" spans="2:50" x14ac:dyDescent="0.25">
      <c r="D5" s="4"/>
      <c r="E5" s="3" t="s">
        <v>14</v>
      </c>
      <c r="F5" s="7">
        <v>322810.65999999997</v>
      </c>
      <c r="G5" s="7">
        <v>323135.65000000002</v>
      </c>
      <c r="H5" s="7">
        <v>323135.65000000002</v>
      </c>
      <c r="I5" s="7"/>
      <c r="J5" s="7"/>
      <c r="K5" s="12">
        <f t="shared" si="0"/>
        <v>324.99000000004889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418912.11000006302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322850</v>
      </c>
      <c r="AH5" s="7">
        <v>323175</v>
      </c>
      <c r="AI5" s="7">
        <v>323175</v>
      </c>
      <c r="AJ5" s="7"/>
      <c r="AK5" s="7"/>
      <c r="AL5" s="12">
        <f t="shared" si="4"/>
        <v>325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397800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506416.67</v>
      </c>
      <c r="G6" s="7">
        <v>507115.22</v>
      </c>
      <c r="H6" s="7">
        <v>507115.22</v>
      </c>
      <c r="I6" s="7"/>
      <c r="J6" s="7"/>
      <c r="K6" s="12">
        <f t="shared" si="0"/>
        <v>698.54999999998836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900430.94999998505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506456</v>
      </c>
      <c r="AH6" s="7">
        <v>507155</v>
      </c>
      <c r="AI6" s="7">
        <v>507155</v>
      </c>
      <c r="AJ6" s="7"/>
      <c r="AK6" s="7"/>
      <c r="AL6" s="12">
        <f t="shared" si="4"/>
        <v>699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855576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2292.6000000000349</v>
      </c>
      <c r="F7" s="3"/>
      <c r="G7" s="3"/>
      <c r="H7" s="3"/>
      <c r="I7" s="3"/>
      <c r="J7" s="3"/>
      <c r="K7" s="22">
        <f>SUM(K3:K6)</f>
        <v>2292.6000000000349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2293</v>
      </c>
      <c r="AG7" s="3"/>
      <c r="AH7" s="3"/>
      <c r="AI7" s="3"/>
      <c r="AJ7" s="3"/>
      <c r="AK7" s="3"/>
      <c r="AL7" s="22">
        <f>SUM(AL3:AL6)</f>
        <v>2293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367608.1</v>
      </c>
      <c r="G8" s="7">
        <v>368582.35</v>
      </c>
      <c r="H8" s="7">
        <v>368582.35</v>
      </c>
      <c r="I8" s="7"/>
      <c r="J8" s="7"/>
      <c r="K8" s="12">
        <f t="shared" ref="K8:K9" si="9">G8-F8</f>
        <v>974.25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1255808.25</v>
      </c>
      <c r="T8" s="7"/>
      <c r="U8" s="8" t="s">
        <v>11</v>
      </c>
      <c r="V8" s="23">
        <v>9200</v>
      </c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481986</v>
      </c>
      <c r="AH8" s="7">
        <v>482960</v>
      </c>
      <c r="AI8" s="7">
        <v>482960</v>
      </c>
      <c r="AJ8" s="7"/>
      <c r="AK8" s="7"/>
      <c r="AL8" s="12">
        <f t="shared" ref="AL8:AL9" si="12">AH8-AG8</f>
        <v>974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1192176</v>
      </c>
      <c r="AU8" s="7"/>
      <c r="AV8" s="24" t="s">
        <v>11</v>
      </c>
      <c r="AW8" s="23">
        <v>9200</v>
      </c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>
        <v>6000</v>
      </c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>
        <v>6000</v>
      </c>
      <c r="AX9" s="3"/>
    </row>
    <row r="10" spans="2:50" x14ac:dyDescent="0.25">
      <c r="D10" s="21" t="s">
        <v>23</v>
      </c>
      <c r="E10" s="2">
        <f>K10+M10+O10+Q10</f>
        <v>974.25</v>
      </c>
      <c r="F10" s="3"/>
      <c r="G10" s="3"/>
      <c r="H10" s="3"/>
      <c r="I10" s="3"/>
      <c r="J10" s="3"/>
      <c r="K10" s="22">
        <f>SUM(K8:K9)</f>
        <v>974.25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974</v>
      </c>
      <c r="AG10" s="3"/>
      <c r="AH10" s="3"/>
      <c r="AI10" s="3"/>
      <c r="AJ10" s="3"/>
      <c r="AK10" s="3"/>
      <c r="AL10" s="22">
        <f>SUM(AL8:AL9)</f>
        <v>974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476987.39</v>
      </c>
      <c r="G11" s="7">
        <v>477453.74</v>
      </c>
      <c r="H11" s="7">
        <v>477453.74</v>
      </c>
      <c r="I11" s="7"/>
      <c r="J11" s="7"/>
      <c r="K11" s="12">
        <f t="shared" ref="K11:K14" si="17">G11-F11</f>
        <v>466.34999999997672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601125.14999996999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477024</v>
      </c>
      <c r="AH11" s="7">
        <v>477491</v>
      </c>
      <c r="AI11" s="7">
        <v>477491</v>
      </c>
      <c r="AJ11" s="7"/>
      <c r="AK11" s="7"/>
      <c r="AL11" s="12">
        <f t="shared" ref="AL11:AL12" si="20">AH11-AG11</f>
        <v>467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571608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541541.02</v>
      </c>
      <c r="G12" s="7">
        <v>541997.73</v>
      </c>
      <c r="H12" s="7">
        <v>541997.73</v>
      </c>
      <c r="I12" s="7"/>
      <c r="J12" s="7"/>
      <c r="K12" s="12">
        <f t="shared" si="17"/>
        <v>456.70999999996275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588699.18999995198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541581</v>
      </c>
      <c r="AH12" s="7">
        <v>542038</v>
      </c>
      <c r="AI12" s="7">
        <v>542038</v>
      </c>
      <c r="AJ12" s="7"/>
      <c r="AK12" s="7"/>
      <c r="AL12" s="12">
        <f t="shared" si="20"/>
        <v>457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559368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923.05999999993946</v>
      </c>
      <c r="F13" s="3"/>
      <c r="G13" s="3"/>
      <c r="H13" s="3"/>
      <c r="I13" s="3"/>
      <c r="J13" s="3"/>
      <c r="K13" s="22">
        <f>SUM(K11:K12)</f>
        <v>923.05999999993946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924</v>
      </c>
      <c r="AG13" s="3"/>
      <c r="AH13" s="3"/>
      <c r="AI13" s="3"/>
      <c r="AJ13" s="3"/>
      <c r="AK13" s="3"/>
      <c r="AL13" s="22">
        <f>SUM(AL11:AL12)</f>
        <v>924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460777.42</v>
      </c>
      <c r="G14" s="7">
        <v>463190.04</v>
      </c>
      <c r="H14" s="7">
        <v>463190.04</v>
      </c>
      <c r="I14" s="7"/>
      <c r="J14" s="7"/>
      <c r="K14" s="12">
        <f t="shared" si="17"/>
        <v>2412.6199999999953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4509186.7799999909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460807</v>
      </c>
      <c r="AH14" s="7">
        <v>463220</v>
      </c>
      <c r="AI14" s="7">
        <v>463220</v>
      </c>
      <c r="AJ14" s="7"/>
      <c r="AK14" s="7"/>
      <c r="AL14" s="12">
        <f t="shared" ref="AL14" si="24">AH14-AG14</f>
        <v>2413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4509897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2412.6199999999953</v>
      </c>
      <c r="F16" s="3"/>
      <c r="G16" s="3"/>
      <c r="H16" s="3"/>
      <c r="I16" s="7"/>
      <c r="K16" s="22">
        <f>SUM(K14:K15)</f>
        <v>2412.6199999999953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2413</v>
      </c>
      <c r="AG16" s="32"/>
      <c r="AH16" s="32"/>
      <c r="AI16" s="32"/>
      <c r="AJ16" s="7"/>
      <c r="AL16" s="22">
        <f>SUM(AL14:AL15)</f>
        <v>2413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9909980.7699999586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9639681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9700</v>
      </c>
      <c r="G20" s="35">
        <v>8900</v>
      </c>
      <c r="H20" s="36">
        <f>F20+V7-G20</f>
        <v>800</v>
      </c>
      <c r="I20" s="36">
        <f>E13-H20</f>
        <v>123.05999999993946</v>
      </c>
      <c r="J20" s="37">
        <f>E13*0.085</f>
        <v>78.460099999994867</v>
      </c>
      <c r="K20" s="38">
        <f>I20-J20</f>
        <v>44.599899999944597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9700</v>
      </c>
      <c r="AH20" s="35">
        <v>8900</v>
      </c>
      <c r="AI20" s="36">
        <f>AG20+AW7-AH20</f>
        <v>800</v>
      </c>
      <c r="AJ20" s="36">
        <f>AF13-AI20</f>
        <v>124</v>
      </c>
      <c r="AK20" s="37">
        <f>AF13*0.085</f>
        <v>78.540000000000006</v>
      </c>
      <c r="AL20" s="38">
        <f>AJ20-AK20</f>
        <v>45.459999999999994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9700</v>
      </c>
      <c r="G21" s="35">
        <v>16700</v>
      </c>
      <c r="H21" s="36">
        <f>F21+V8-G21</f>
        <v>2200</v>
      </c>
      <c r="I21" s="36">
        <f>E7-H21</f>
        <v>92.600000000034925</v>
      </c>
      <c r="J21" s="37">
        <f>E7*0.085</f>
        <v>194.87100000000299</v>
      </c>
      <c r="K21" s="38">
        <f>I21-J21</f>
        <v>-102.27099999996807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9700</v>
      </c>
      <c r="AH21" s="35">
        <v>16700</v>
      </c>
      <c r="AI21" s="36">
        <f>AG21+AW8-AH21</f>
        <v>2200</v>
      </c>
      <c r="AJ21" s="36">
        <f>AF7-AI21</f>
        <v>93</v>
      </c>
      <c r="AK21" s="37">
        <f>AF7*0.085</f>
        <v>194.905</v>
      </c>
      <c r="AL21" s="38">
        <f>AJ21-AK21</f>
        <v>-101.905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2900</v>
      </c>
      <c r="G22" s="35">
        <v>8000</v>
      </c>
      <c r="H22" s="36">
        <f>F22+V9-G22</f>
        <v>900</v>
      </c>
      <c r="I22" s="36">
        <f>E10-H22</f>
        <v>74.25</v>
      </c>
      <c r="J22" s="37">
        <f>E10*0.085</f>
        <v>82.811250000000001</v>
      </c>
      <c r="K22" s="38">
        <f>I22-J22</f>
        <v>-8.5612500000000011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2900</v>
      </c>
      <c r="AH22" s="35">
        <v>8000</v>
      </c>
      <c r="AI22" s="36">
        <f>AG22+AW9-AH22</f>
        <v>900</v>
      </c>
      <c r="AJ22" s="36">
        <f>AF10-AI22</f>
        <v>74</v>
      </c>
      <c r="AK22" s="37">
        <f>AF10*0.085</f>
        <v>82.79</v>
      </c>
      <c r="AL22" s="38">
        <f>AJ22-AK22</f>
        <v>-8.7900000000000063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26600</v>
      </c>
      <c r="G23" s="35">
        <v>24400</v>
      </c>
      <c r="H23" s="36">
        <f>F23+V10-G23</f>
        <v>2200</v>
      </c>
      <c r="I23" s="36">
        <f>E16-H23</f>
        <v>212.61999999999534</v>
      </c>
      <c r="J23" s="37">
        <f>E16*0.085</f>
        <v>205.07269999999963</v>
      </c>
      <c r="K23" s="38">
        <f>I23-J23</f>
        <v>7.5472999999957153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26600</v>
      </c>
      <c r="AH23" s="35">
        <v>24400</v>
      </c>
      <c r="AI23" s="36">
        <f>AG23+AW10-AH23</f>
        <v>2200</v>
      </c>
      <c r="AJ23" s="36">
        <f>AF16-AI23</f>
        <v>213</v>
      </c>
      <c r="AK23" s="37">
        <f>AF16*0.085</f>
        <v>205.10500000000002</v>
      </c>
      <c r="AL23" s="38">
        <f>AJ23-AK23</f>
        <v>7.8949999999999818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870940</v>
      </c>
      <c r="C26" s="46">
        <v>280425</v>
      </c>
      <c r="D26" s="17">
        <v>0</v>
      </c>
      <c r="E26" s="17">
        <v>1104450</v>
      </c>
      <c r="F26" s="17">
        <v>0</v>
      </c>
      <c r="G26" s="46">
        <v>431371</v>
      </c>
      <c r="H26" s="46">
        <v>60500</v>
      </c>
      <c r="I26" s="46">
        <v>6613721</v>
      </c>
      <c r="J26" s="46">
        <v>5500</v>
      </c>
      <c r="K26" s="46">
        <v>0</v>
      </c>
      <c r="L26" s="46">
        <v>0</v>
      </c>
      <c r="M26" s="46">
        <v>0</v>
      </c>
      <c r="N26" s="46">
        <v>282950</v>
      </c>
      <c r="O26" s="46">
        <v>0</v>
      </c>
      <c r="P26" s="46">
        <v>262700</v>
      </c>
      <c r="Q26" s="46">
        <v>6316032.7400000002</v>
      </c>
      <c r="R26" s="47">
        <f>SUM(S17-W23-B26-C26-D26-E26-F26-G26-H26-I26-J26-K26-L26-M26-N26-O26-P26+Q26)</f>
        <v>6313456.5099999588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7" workbookViewId="0">
      <selection activeCell="H28" sqref="H28"/>
    </sheetView>
  </sheetViews>
  <sheetFormatPr defaultRowHeight="15" x14ac:dyDescent="0.25"/>
  <cols>
    <col min="10" max="10" width="10" bestFit="1" customWidth="1"/>
    <col min="17" max="17" width="10" bestFit="1" customWidth="1"/>
    <col min="18" max="18" width="12.28515625" bestFit="1" customWidth="1"/>
    <col min="19" max="19" width="11.140625" bestFit="1" customWidth="1"/>
  </cols>
  <sheetData>
    <row r="1" spans="2:50" x14ac:dyDescent="0.25">
      <c r="B1" s="1">
        <v>46274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421102.67</v>
      </c>
      <c r="G3" s="7">
        <v>422069.27</v>
      </c>
      <c r="H3" s="7">
        <v>422069.27</v>
      </c>
      <c r="I3" s="7"/>
      <c r="J3" s="7"/>
      <c r="K3" s="12">
        <f>G3-F3</f>
        <v>966.60000000003492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1245947.4000000451</v>
      </c>
      <c r="T3" s="7"/>
      <c r="U3" s="3" t="s">
        <v>9</v>
      </c>
      <c r="V3" s="13">
        <f>E7+E10+E13</f>
        <v>4442.940000000177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421136</v>
      </c>
      <c r="AH3" s="7">
        <v>422102</v>
      </c>
      <c r="AI3" s="7">
        <v>422102</v>
      </c>
      <c r="AJ3" s="7"/>
      <c r="AK3" s="7"/>
      <c r="AL3" s="12">
        <f>AH3-AG3</f>
        <v>966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1182384</v>
      </c>
      <c r="AU3" s="7"/>
      <c r="AV3" s="3" t="s">
        <v>9</v>
      </c>
      <c r="AW3" s="13">
        <f>AF7+AF10+AF13</f>
        <v>4439</v>
      </c>
      <c r="AX3" s="3"/>
    </row>
    <row r="4" spans="2:50" x14ac:dyDescent="0.25">
      <c r="D4" s="3"/>
      <c r="E4" s="3" t="s">
        <v>11</v>
      </c>
      <c r="F4" s="7">
        <v>314734.39</v>
      </c>
      <c r="G4" s="7">
        <v>315200.74</v>
      </c>
      <c r="H4" s="7">
        <v>315200.74</v>
      </c>
      <c r="I4" s="7"/>
      <c r="J4" s="7"/>
      <c r="K4" s="12">
        <f t="shared" ref="K4:K6" si="0">G4-F4</f>
        <v>466.34999999997672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601125.14999996999</v>
      </c>
      <c r="T4" s="7"/>
      <c r="U4" s="3" t="s">
        <v>12</v>
      </c>
      <c r="V4" s="13">
        <f>E16</f>
        <v>877.17000000004191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314772</v>
      </c>
      <c r="AH4" s="7">
        <v>315238</v>
      </c>
      <c r="AI4" s="7">
        <v>315238</v>
      </c>
      <c r="AJ4" s="7"/>
      <c r="AK4" s="7"/>
      <c r="AL4" s="12">
        <f t="shared" ref="AL4:AL6" si="4">AH4-AG4</f>
        <v>466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570384</v>
      </c>
      <c r="AU4" s="7"/>
      <c r="AV4" s="3" t="s">
        <v>12</v>
      </c>
      <c r="AW4" s="13">
        <f>AF16</f>
        <v>877</v>
      </c>
      <c r="AX4" s="3"/>
    </row>
    <row r="5" spans="2:50" x14ac:dyDescent="0.25">
      <c r="D5" s="4"/>
      <c r="E5" s="3" t="s">
        <v>14</v>
      </c>
      <c r="F5" s="7">
        <v>323135.65000000002</v>
      </c>
      <c r="G5" s="7">
        <v>323521.53000000003</v>
      </c>
      <c r="H5" s="7">
        <v>323521.53000000003</v>
      </c>
      <c r="I5" s="7"/>
      <c r="J5" s="7"/>
      <c r="K5" s="12">
        <f t="shared" si="0"/>
        <v>385.88000000000466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497399.320000006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323175</v>
      </c>
      <c r="AH5" s="7">
        <v>323560</v>
      </c>
      <c r="AI5" s="7">
        <v>323560</v>
      </c>
      <c r="AJ5" s="7"/>
      <c r="AK5" s="7"/>
      <c r="AL5" s="12">
        <f t="shared" si="4"/>
        <v>385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471240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507115.22</v>
      </c>
      <c r="G6" s="7">
        <v>507778.4</v>
      </c>
      <c r="H6" s="7">
        <v>507778.4</v>
      </c>
      <c r="I6" s="7"/>
      <c r="J6" s="7"/>
      <c r="K6" s="12">
        <f t="shared" si="0"/>
        <v>663.18000000005122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854839.02000006603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507155</v>
      </c>
      <c r="AH6" s="7">
        <v>507817</v>
      </c>
      <c r="AI6" s="7">
        <v>507817</v>
      </c>
      <c r="AJ6" s="7"/>
      <c r="AK6" s="7"/>
      <c r="AL6" s="12">
        <f t="shared" si="4"/>
        <v>662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810288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2482.0100000000675</v>
      </c>
      <c r="F7" s="3"/>
      <c r="G7" s="3"/>
      <c r="H7" s="3"/>
      <c r="I7" s="3"/>
      <c r="J7" s="3"/>
      <c r="K7" s="22">
        <f>SUM(K3:K6)</f>
        <v>2482.0100000000675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2479</v>
      </c>
      <c r="AG7" s="3"/>
      <c r="AH7" s="3"/>
      <c r="AI7" s="3"/>
      <c r="AJ7" s="3"/>
      <c r="AK7" s="3"/>
      <c r="AL7" s="22">
        <f>SUM(AL3:AL6)</f>
        <v>2479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368582.35</v>
      </c>
      <c r="G8" s="7">
        <v>369345.46</v>
      </c>
      <c r="H8" s="7">
        <v>369345.46</v>
      </c>
      <c r="I8" s="7"/>
      <c r="J8" s="7"/>
      <c r="K8" s="12">
        <f t="shared" ref="K8:K9" si="9">G8-F8</f>
        <v>763.11000000004424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983648.79000005708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482960</v>
      </c>
      <c r="AH8" s="7">
        <v>483723</v>
      </c>
      <c r="AI8" s="7">
        <v>483723</v>
      </c>
      <c r="AJ8" s="7"/>
      <c r="AK8" s="7"/>
      <c r="AL8" s="12">
        <f t="shared" ref="AL8:AL9" si="12">AH8-AG8</f>
        <v>763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933912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763.11000000004424</v>
      </c>
      <c r="F10" s="3"/>
      <c r="G10" s="3"/>
      <c r="H10" s="3"/>
      <c r="I10" s="3"/>
      <c r="J10" s="3"/>
      <c r="K10" s="22">
        <f>SUM(K8:K9)</f>
        <v>763.11000000004424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763</v>
      </c>
      <c r="AG10" s="3"/>
      <c r="AH10" s="3"/>
      <c r="AI10" s="3"/>
      <c r="AJ10" s="3"/>
      <c r="AK10" s="3"/>
      <c r="AL10" s="22">
        <f>SUM(AL8:AL9)</f>
        <v>763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477453.74</v>
      </c>
      <c r="G11" s="7">
        <v>477976.25</v>
      </c>
      <c r="H11" s="7">
        <v>477976.25</v>
      </c>
      <c r="I11" s="7"/>
      <c r="J11" s="7"/>
      <c r="K11" s="12">
        <f t="shared" ref="K11:K14" si="17">G11-F11</f>
        <v>522.51000000000931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673515.390000012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477491</v>
      </c>
      <c r="AH11" s="7">
        <v>478013</v>
      </c>
      <c r="AI11" s="7">
        <v>478013</v>
      </c>
      <c r="AJ11" s="7"/>
      <c r="AK11" s="7"/>
      <c r="AL11" s="12">
        <f t="shared" ref="AL11:AL12" si="20">AH11-AG11</f>
        <v>522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638928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541997.73</v>
      </c>
      <c r="G12" s="7">
        <v>542673.04</v>
      </c>
      <c r="H12" s="7">
        <v>542673.04</v>
      </c>
      <c r="I12" s="7"/>
      <c r="J12" s="7"/>
      <c r="K12" s="12">
        <f t="shared" si="17"/>
        <v>675.31000000005588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870474.59000007203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542038</v>
      </c>
      <c r="AH12" s="7">
        <v>542713</v>
      </c>
      <c r="AI12" s="7">
        <v>542713</v>
      </c>
      <c r="AJ12" s="7"/>
      <c r="AK12" s="7"/>
      <c r="AL12" s="12">
        <f t="shared" si="20"/>
        <v>675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826200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1197.8200000000652</v>
      </c>
      <c r="F13" s="3"/>
      <c r="G13" s="3"/>
      <c r="H13" s="3"/>
      <c r="I13" s="3"/>
      <c r="J13" s="3"/>
      <c r="K13" s="22">
        <f>SUM(K11:K12)</f>
        <v>1197.8200000000652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1197</v>
      </c>
      <c r="AG13" s="3"/>
      <c r="AH13" s="3"/>
      <c r="AI13" s="3"/>
      <c r="AJ13" s="3"/>
      <c r="AK13" s="3"/>
      <c r="AL13" s="22">
        <f>SUM(AL11:AL12)</f>
        <v>1197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463190.04</v>
      </c>
      <c r="G14" s="7">
        <v>464067.21</v>
      </c>
      <c r="H14" s="7">
        <v>464067.21</v>
      </c>
      <c r="I14" s="7"/>
      <c r="J14" s="7"/>
      <c r="K14" s="12">
        <f t="shared" si="17"/>
        <v>877.17000000004191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1639430.7300000782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463220</v>
      </c>
      <c r="AH14" s="7">
        <v>464097</v>
      </c>
      <c r="AI14" s="7">
        <v>464097</v>
      </c>
      <c r="AJ14" s="7"/>
      <c r="AK14" s="7"/>
      <c r="AL14" s="12">
        <f t="shared" ref="AL14" si="24">AH14-AG14</f>
        <v>877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1639113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877.17000000004191</v>
      </c>
      <c r="F16" s="3"/>
      <c r="G16" s="3"/>
      <c r="H16" s="3"/>
      <c r="I16" s="7"/>
      <c r="K16" s="22">
        <f>SUM(K14:K15)</f>
        <v>877.17000000004191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877</v>
      </c>
      <c r="AG16" s="32"/>
      <c r="AH16" s="32"/>
      <c r="AI16" s="32"/>
      <c r="AJ16" s="7"/>
      <c r="AL16" s="22">
        <f>SUM(AL14:AL15)</f>
        <v>877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7366380.3900003061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7072449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8900</v>
      </c>
      <c r="G20" s="35">
        <v>7650</v>
      </c>
      <c r="H20" s="36">
        <f>F20+V7-G20</f>
        <v>1250</v>
      </c>
      <c r="I20" s="36">
        <f>E13-H20</f>
        <v>-52.179999999934807</v>
      </c>
      <c r="J20" s="37">
        <f>E13*0.085</f>
        <v>101.81470000000554</v>
      </c>
      <c r="K20" s="38">
        <f>I20-J20</f>
        <v>-153.99469999994034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8900</v>
      </c>
      <c r="AH20" s="35">
        <v>7650</v>
      </c>
      <c r="AI20" s="36">
        <f>AG20+AW7-AH20</f>
        <v>1250</v>
      </c>
      <c r="AJ20" s="36">
        <f>AF13-AI20</f>
        <v>-53</v>
      </c>
      <c r="AK20" s="37">
        <f>AF13*0.085</f>
        <v>101.745</v>
      </c>
      <c r="AL20" s="38">
        <f>AJ20-AK20</f>
        <v>-154.745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16700</v>
      </c>
      <c r="G21" s="35">
        <v>14350</v>
      </c>
      <c r="H21" s="36">
        <f>F21+V8-G21</f>
        <v>2350</v>
      </c>
      <c r="I21" s="36">
        <f>E7-H21</f>
        <v>132.01000000006752</v>
      </c>
      <c r="J21" s="37">
        <f>E7*0.085</f>
        <v>210.97085000000575</v>
      </c>
      <c r="K21" s="38">
        <f>I21-J21</f>
        <v>-78.960849999938233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16700</v>
      </c>
      <c r="AH21" s="35">
        <v>14350</v>
      </c>
      <c r="AI21" s="36">
        <f>AG21+AW8-AH21</f>
        <v>2350</v>
      </c>
      <c r="AJ21" s="36">
        <f>AF7-AI21</f>
        <v>129</v>
      </c>
      <c r="AK21" s="37">
        <f>AF7*0.085</f>
        <v>210.715</v>
      </c>
      <c r="AL21" s="38">
        <f>AJ21-AK21</f>
        <v>-81.715000000000003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8000</v>
      </c>
      <c r="G22" s="35">
        <v>7250</v>
      </c>
      <c r="H22" s="36">
        <f>F22+V9-G22</f>
        <v>750</v>
      </c>
      <c r="I22" s="36">
        <f>E10-H22</f>
        <v>13.110000000044238</v>
      </c>
      <c r="J22" s="37">
        <f>E10*0.085</f>
        <v>64.864350000003768</v>
      </c>
      <c r="K22" s="38">
        <f>I22-J22</f>
        <v>-51.75434999995953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8000</v>
      </c>
      <c r="AH22" s="35">
        <v>7250</v>
      </c>
      <c r="AI22" s="36">
        <f>AG22+AW9-AH22</f>
        <v>750</v>
      </c>
      <c r="AJ22" s="36">
        <f>AF10-AI22</f>
        <v>13</v>
      </c>
      <c r="AK22" s="37">
        <f>AF10*0.085</f>
        <v>64.855000000000004</v>
      </c>
      <c r="AL22" s="38">
        <f>AJ22-AK22</f>
        <v>-51.855000000000004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24400</v>
      </c>
      <c r="G23" s="35">
        <v>23600</v>
      </c>
      <c r="H23" s="36">
        <f>F23+V10-G23</f>
        <v>800</v>
      </c>
      <c r="I23" s="36">
        <f>E16-H23</f>
        <v>77.17000000004191</v>
      </c>
      <c r="J23" s="37">
        <f>E16*0.085</f>
        <v>74.559450000003565</v>
      </c>
      <c r="K23" s="38">
        <f>I23-J23</f>
        <v>2.6105500000383444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24400</v>
      </c>
      <c r="AH23" s="35">
        <v>23600</v>
      </c>
      <c r="AI23" s="36">
        <f>AG23+AW10-AH23</f>
        <v>800</v>
      </c>
      <c r="AJ23" s="36">
        <f>AF16-AI23</f>
        <v>77</v>
      </c>
      <c r="AK23" s="37">
        <f>AF16*0.085</f>
        <v>74.545000000000002</v>
      </c>
      <c r="AL23" s="38">
        <f>AJ23-AK23</f>
        <v>2.4549999999999983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510920</v>
      </c>
      <c r="C26" s="46">
        <v>324900</v>
      </c>
      <c r="D26" s="17">
        <v>478500</v>
      </c>
      <c r="E26" s="17">
        <v>711100</v>
      </c>
      <c r="F26" s="17">
        <v>0</v>
      </c>
      <c r="G26" s="46">
        <v>0</v>
      </c>
      <c r="H26" s="46">
        <v>240230.15</v>
      </c>
      <c r="I26" s="46">
        <v>268500</v>
      </c>
      <c r="J26" s="46">
        <v>4019567</v>
      </c>
      <c r="K26" s="46">
        <v>242000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6313456.5099999588</v>
      </c>
      <c r="R26" s="47">
        <f>SUM(S17-W23-B26-C26-D26-E26-F26-G26-H26-I26-J26-K26-L26-M26-N26-O26-P26+Q26)</f>
        <v>6884119.7500002645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7" workbookViewId="0">
      <selection activeCell="R26" sqref="R26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</cols>
  <sheetData>
    <row r="1" spans="2:50" x14ac:dyDescent="0.25">
      <c r="B1" s="1">
        <v>46275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422069.27</v>
      </c>
      <c r="G3" s="7">
        <v>422786.46</v>
      </c>
      <c r="H3" s="7">
        <v>422786.46</v>
      </c>
      <c r="I3" s="7"/>
      <c r="J3" s="7"/>
      <c r="K3" s="12">
        <f>G3-F3</f>
        <v>717.19000000000233</v>
      </c>
      <c r="L3" s="7">
        <v>1289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924457.91000000294</v>
      </c>
      <c r="T3" s="7"/>
      <c r="U3" s="3" t="s">
        <v>9</v>
      </c>
      <c r="V3" s="13">
        <f>E7+E10+E13</f>
        <v>4307.9399999998859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422102</v>
      </c>
      <c r="AH3" s="7">
        <v>422819</v>
      </c>
      <c r="AI3" s="7">
        <v>422819</v>
      </c>
      <c r="AJ3" s="7"/>
      <c r="AK3" s="7"/>
      <c r="AL3" s="12">
        <f>AH3-AG3</f>
        <v>717</v>
      </c>
      <c r="AM3" s="7">
        <v>1224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877608</v>
      </c>
      <c r="AU3" s="7"/>
      <c r="AV3" s="3" t="s">
        <v>9</v>
      </c>
      <c r="AW3" s="13">
        <f>AF7+AF10+AF13</f>
        <v>4308</v>
      </c>
      <c r="AX3" s="3"/>
    </row>
    <row r="4" spans="2:50" x14ac:dyDescent="0.25">
      <c r="D4" s="3"/>
      <c r="E4" s="3" t="s">
        <v>11</v>
      </c>
      <c r="F4" s="7">
        <v>315200.74</v>
      </c>
      <c r="G4" s="7">
        <v>315493.34999999998</v>
      </c>
      <c r="H4" s="7">
        <v>315493.34999999998</v>
      </c>
      <c r="I4" s="7"/>
      <c r="J4" s="7"/>
      <c r="K4" s="12">
        <f t="shared" ref="K4:K6" si="0">G4-F4</f>
        <v>292.60999999998603</v>
      </c>
      <c r="L4" s="7">
        <v>1289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377174.28999998199</v>
      </c>
      <c r="T4" s="7"/>
      <c r="U4" s="3" t="s">
        <v>12</v>
      </c>
      <c r="V4" s="13">
        <f>E16</f>
        <v>476.86999999999534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315238</v>
      </c>
      <c r="AH4" s="7">
        <v>315531</v>
      </c>
      <c r="AI4" s="7">
        <v>315531</v>
      </c>
      <c r="AJ4" s="7"/>
      <c r="AK4" s="7"/>
      <c r="AL4" s="12">
        <f t="shared" ref="AL4:AL6" si="4">AH4-AG4</f>
        <v>293</v>
      </c>
      <c r="AM4" s="7">
        <v>1224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358632</v>
      </c>
      <c r="AU4" s="7"/>
      <c r="AV4" s="3" t="s">
        <v>12</v>
      </c>
      <c r="AW4" s="13">
        <f>AF16</f>
        <v>477</v>
      </c>
      <c r="AX4" s="3"/>
    </row>
    <row r="5" spans="2:50" x14ac:dyDescent="0.25">
      <c r="D5" s="4"/>
      <c r="E5" s="3" t="s">
        <v>14</v>
      </c>
      <c r="F5" s="7">
        <v>323521.53000000003</v>
      </c>
      <c r="G5" s="7">
        <v>323836.26</v>
      </c>
      <c r="H5" s="7">
        <v>323836.26</v>
      </c>
      <c r="I5" s="7"/>
      <c r="J5" s="7"/>
      <c r="K5" s="12">
        <f t="shared" si="0"/>
        <v>314.72999999998137</v>
      </c>
      <c r="L5" s="7">
        <v>1289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405686.96999997599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323560</v>
      </c>
      <c r="AH5" s="7">
        <v>323875</v>
      </c>
      <c r="AI5" s="7">
        <v>323875</v>
      </c>
      <c r="AJ5" s="7"/>
      <c r="AK5" s="7"/>
      <c r="AL5" s="12">
        <f t="shared" si="4"/>
        <v>315</v>
      </c>
      <c r="AM5" s="7">
        <v>1224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385560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507778.4</v>
      </c>
      <c r="G6" s="7">
        <v>508908.27</v>
      </c>
      <c r="H6" s="7">
        <v>508908.27</v>
      </c>
      <c r="I6" s="7"/>
      <c r="J6" s="7"/>
      <c r="K6" s="12">
        <f t="shared" si="0"/>
        <v>1129.8699999999953</v>
      </c>
      <c r="L6" s="7">
        <v>1289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1456402.4299999941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507817</v>
      </c>
      <c r="AH6" s="7">
        <v>508947</v>
      </c>
      <c r="AI6" s="7">
        <v>508947</v>
      </c>
      <c r="AJ6" s="7"/>
      <c r="AK6" s="7"/>
      <c r="AL6" s="12">
        <f t="shared" si="4"/>
        <v>1130</v>
      </c>
      <c r="AM6" s="7">
        <v>1224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1383120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2454.3999999999651</v>
      </c>
      <c r="F7" s="3"/>
      <c r="G7" s="3"/>
      <c r="H7" s="3"/>
      <c r="I7" s="3"/>
      <c r="J7" s="3"/>
      <c r="K7" s="22">
        <f>SUM(K3:K6)</f>
        <v>2454.3999999999651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2455</v>
      </c>
      <c r="AG7" s="3"/>
      <c r="AH7" s="3"/>
      <c r="AI7" s="3"/>
      <c r="AJ7" s="3"/>
      <c r="AK7" s="3"/>
      <c r="AL7" s="22">
        <f>SUM(AL3:AL6)</f>
        <v>2455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369345.46</v>
      </c>
      <c r="G8" s="7">
        <v>370431.47</v>
      </c>
      <c r="H8" s="7">
        <v>370431.47</v>
      </c>
      <c r="I8" s="7"/>
      <c r="J8" s="7"/>
      <c r="K8" s="12">
        <f t="shared" ref="K8:K9" si="9">G8-F8</f>
        <v>1086.0099999999511</v>
      </c>
      <c r="L8" s="7">
        <v>1289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1399866.889999937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483723</v>
      </c>
      <c r="AH8" s="7">
        <v>484809</v>
      </c>
      <c r="AI8" s="7">
        <v>484809</v>
      </c>
      <c r="AJ8" s="7"/>
      <c r="AK8" s="7"/>
      <c r="AL8" s="12">
        <f t="shared" ref="AL8:AL9" si="12">AH8-AG8</f>
        <v>1086</v>
      </c>
      <c r="AM8" s="7">
        <v>1224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1329264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1086.0099999999511</v>
      </c>
      <c r="F10" s="3"/>
      <c r="G10" s="3"/>
      <c r="H10" s="3"/>
      <c r="I10" s="3"/>
      <c r="J10" s="3"/>
      <c r="K10" s="22">
        <f>SUM(K8:K9)</f>
        <v>1086.0099999999511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1086</v>
      </c>
      <c r="AG10" s="3"/>
      <c r="AH10" s="3"/>
      <c r="AI10" s="3"/>
      <c r="AJ10" s="3"/>
      <c r="AK10" s="3"/>
      <c r="AL10" s="22">
        <f>SUM(AL8:AL9)</f>
        <v>1086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477976.25</v>
      </c>
      <c r="G11" s="7">
        <v>478465.43</v>
      </c>
      <c r="H11" s="7">
        <v>478465.43</v>
      </c>
      <c r="I11" s="7"/>
      <c r="J11" s="7"/>
      <c r="K11" s="12">
        <f t="shared" ref="K11:K14" si="17">G11-F11</f>
        <v>489.17999999999302</v>
      </c>
      <c r="L11" s="7">
        <v>1289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630553.01999999094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478013</v>
      </c>
      <c r="AH11" s="7">
        <v>478502</v>
      </c>
      <c r="AI11" s="7">
        <v>478502</v>
      </c>
      <c r="AJ11" s="7"/>
      <c r="AK11" s="7"/>
      <c r="AL11" s="12">
        <f t="shared" ref="AL11:AL12" si="20">AH11-AG11</f>
        <v>489</v>
      </c>
      <c r="AM11" s="7">
        <v>1224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598536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542673.04</v>
      </c>
      <c r="G12" s="7">
        <v>542951.39</v>
      </c>
      <c r="H12" s="7">
        <v>542951.39</v>
      </c>
      <c r="I12" s="7"/>
      <c r="J12" s="7"/>
      <c r="K12" s="12">
        <f t="shared" si="17"/>
        <v>278.34999999997672</v>
      </c>
      <c r="L12" s="7">
        <v>1289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358793.14999996999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542713</v>
      </c>
      <c r="AH12" s="7">
        <v>542991</v>
      </c>
      <c r="AI12" s="7">
        <v>542991</v>
      </c>
      <c r="AJ12" s="7"/>
      <c r="AK12" s="7"/>
      <c r="AL12" s="12">
        <f t="shared" si="20"/>
        <v>278</v>
      </c>
      <c r="AM12" s="7">
        <v>1224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340272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767.52999999996973</v>
      </c>
      <c r="F13" s="3"/>
      <c r="G13" s="3"/>
      <c r="H13" s="3"/>
      <c r="I13" s="3"/>
      <c r="J13" s="3"/>
      <c r="K13" s="22">
        <f>SUM(K11:K12)</f>
        <v>767.52999999996973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767</v>
      </c>
      <c r="AG13" s="3"/>
      <c r="AH13" s="3"/>
      <c r="AI13" s="3"/>
      <c r="AJ13" s="3"/>
      <c r="AK13" s="3"/>
      <c r="AL13" s="22">
        <f>SUM(AL11:AL12)</f>
        <v>767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464067.21</v>
      </c>
      <c r="G14" s="7">
        <v>464544.08</v>
      </c>
      <c r="H14" s="7">
        <v>464544.08</v>
      </c>
      <c r="I14" s="7"/>
      <c r="J14" s="7"/>
      <c r="K14" s="12">
        <f t="shared" si="17"/>
        <v>476.86999999999534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891270.0299999913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464097</v>
      </c>
      <c r="AH14" s="7">
        <v>464574</v>
      </c>
      <c r="AI14" s="7">
        <v>464574</v>
      </c>
      <c r="AJ14" s="7"/>
      <c r="AK14" s="7"/>
      <c r="AL14" s="12">
        <f t="shared" ref="AL14" si="24">AH14-AG14</f>
        <v>477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891513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476.86999999999534</v>
      </c>
      <c r="F16" s="3"/>
      <c r="G16" s="3"/>
      <c r="H16" s="3"/>
      <c r="I16" s="7"/>
      <c r="K16" s="22">
        <f>SUM(K14:K15)</f>
        <v>476.86999999999534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477</v>
      </c>
      <c r="AG16" s="32"/>
      <c r="AH16" s="32"/>
      <c r="AI16" s="32"/>
      <c r="AJ16" s="7"/>
      <c r="AL16" s="22">
        <f>SUM(AL14:AL15)</f>
        <v>477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6444204.6899998439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6164505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7650</v>
      </c>
      <c r="G20" s="35">
        <v>7000</v>
      </c>
      <c r="H20" s="36">
        <f>F20+V7-G20</f>
        <v>650</v>
      </c>
      <c r="I20" s="36">
        <f>E13-H20</f>
        <v>117.52999999996973</v>
      </c>
      <c r="J20" s="37">
        <f>E13*0.085</f>
        <v>65.240049999997439</v>
      </c>
      <c r="K20" s="38">
        <f>I20-J20</f>
        <v>52.289949999972293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7650</v>
      </c>
      <c r="AH20" s="35">
        <v>7000</v>
      </c>
      <c r="AI20" s="36">
        <f>AG20+AW7-AH20</f>
        <v>650</v>
      </c>
      <c r="AJ20" s="36">
        <f>AF13-AI20</f>
        <v>117</v>
      </c>
      <c r="AK20" s="37">
        <f>AF13*0.085</f>
        <v>65.195000000000007</v>
      </c>
      <c r="AL20" s="38">
        <f>AJ20-AK20</f>
        <v>51.804999999999993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14350</v>
      </c>
      <c r="G21" s="35">
        <v>12050</v>
      </c>
      <c r="H21" s="36">
        <f>F21+V8-G21</f>
        <v>2300</v>
      </c>
      <c r="I21" s="36">
        <f>E7-H21</f>
        <v>154.39999999996508</v>
      </c>
      <c r="J21" s="37">
        <f>E7*0.085</f>
        <v>208.62399999999704</v>
      </c>
      <c r="K21" s="38">
        <f>I21-J21</f>
        <v>-54.224000000031964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14350</v>
      </c>
      <c r="AH21" s="35">
        <v>12050</v>
      </c>
      <c r="AI21" s="36">
        <f>AG21+AW8-AH21</f>
        <v>2300</v>
      </c>
      <c r="AJ21" s="36">
        <f>AF7-AI21</f>
        <v>155</v>
      </c>
      <c r="AK21" s="37">
        <f>AF7*0.085</f>
        <v>208.67500000000001</v>
      </c>
      <c r="AL21" s="38">
        <f>AJ21-AK21</f>
        <v>-53.675000000000011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7250</v>
      </c>
      <c r="G22" s="35">
        <v>6200</v>
      </c>
      <c r="H22" s="36">
        <f>F22+V9-G22</f>
        <v>1050</v>
      </c>
      <c r="I22" s="36">
        <f>E10-H22</f>
        <v>36.009999999951106</v>
      </c>
      <c r="J22" s="37">
        <f>E10*0.085</f>
        <v>92.310849999995852</v>
      </c>
      <c r="K22" s="38">
        <f>I22-J22</f>
        <v>-56.300850000044747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7250</v>
      </c>
      <c r="AH22" s="35">
        <v>6200</v>
      </c>
      <c r="AI22" s="36">
        <f>AG22+AW9-AH22</f>
        <v>1050</v>
      </c>
      <c r="AJ22" s="36">
        <f>AF10-AI22</f>
        <v>36</v>
      </c>
      <c r="AK22" s="37">
        <f>AF10*0.085</f>
        <v>92.31</v>
      </c>
      <c r="AL22" s="38">
        <f>AJ22-AK22</f>
        <v>-56.31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23600</v>
      </c>
      <c r="G23" s="35">
        <v>23050</v>
      </c>
      <c r="H23" s="36">
        <f>F23+V10-G23</f>
        <v>550</v>
      </c>
      <c r="I23" s="36">
        <f>E16-H23</f>
        <v>-73.130000000004657</v>
      </c>
      <c r="J23" s="37">
        <f>E16*0.085</f>
        <v>40.533949999999606</v>
      </c>
      <c r="K23" s="38">
        <f>I23-J23</f>
        <v>-113.66395000000426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23600</v>
      </c>
      <c r="AH23" s="35">
        <v>23050</v>
      </c>
      <c r="AI23" s="36">
        <f>AG23+AW10-AH23</f>
        <v>550</v>
      </c>
      <c r="AJ23" s="36">
        <f>AF16-AI23</f>
        <v>-73</v>
      </c>
      <c r="AK23" s="37">
        <f>AF16*0.085</f>
        <v>40.545000000000002</v>
      </c>
      <c r="AL23" s="38">
        <f>AJ23-AK23</f>
        <v>-113.545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387780</v>
      </c>
      <c r="C26" s="46">
        <v>506350</v>
      </c>
      <c r="D26" s="17">
        <v>0</v>
      </c>
      <c r="E26" s="17">
        <v>1361350</v>
      </c>
      <c r="F26" s="17">
        <v>0</v>
      </c>
      <c r="G26" s="46">
        <v>162400</v>
      </c>
      <c r="H26" s="46">
        <v>0</v>
      </c>
      <c r="I26" s="46">
        <v>4020786</v>
      </c>
      <c r="J26" s="46">
        <v>0</v>
      </c>
      <c r="K26" s="46">
        <v>0</v>
      </c>
      <c r="L26" s="46">
        <v>0</v>
      </c>
      <c r="M26" s="46">
        <v>0</v>
      </c>
      <c r="N26" s="46">
        <v>343100</v>
      </c>
      <c r="O26" s="46">
        <v>0</v>
      </c>
      <c r="P26" s="46">
        <v>558860</v>
      </c>
      <c r="Q26" s="46">
        <v>6884119.75</v>
      </c>
      <c r="R26" s="47">
        <f>SUM(S17-W23-B26-C26-D26-E26-F26-G26-H26-I26-J26-K26-L26-M26-N26-O26-P26+Q26)</f>
        <v>5987698.4399998439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8" workbookViewId="0">
      <selection activeCell="I29" sqref="I29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  <col min="21" max="21" width="17.140625" customWidth="1"/>
    <col min="23" max="23" width="9.5703125" bestFit="1" customWidth="1"/>
  </cols>
  <sheetData>
    <row r="1" spans="2:50" x14ac:dyDescent="0.25">
      <c r="B1" s="1">
        <v>46276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422786.46</v>
      </c>
      <c r="G3" s="7">
        <v>423486.53</v>
      </c>
      <c r="H3" s="7">
        <v>423486.53</v>
      </c>
      <c r="I3" s="7"/>
      <c r="J3" s="7"/>
      <c r="K3" s="12">
        <f>G3-F3</f>
        <v>700.07000000000698</v>
      </c>
      <c r="L3" s="7">
        <v>1289</v>
      </c>
      <c r="M3" s="12">
        <f>H3-G3</f>
        <v>0</v>
      </c>
      <c r="N3" s="7">
        <v>1374</v>
      </c>
      <c r="O3" s="12">
        <f>I3</f>
        <v>0</v>
      </c>
      <c r="P3" s="7"/>
      <c r="Q3" s="12">
        <f>J3-I3</f>
        <v>0</v>
      </c>
      <c r="R3" s="7"/>
      <c r="S3" s="12">
        <f>(K3*L3)+(M3*N3)+(O3*P3)+(Q3*R3)</f>
        <v>902390.23000000906</v>
      </c>
      <c r="T3" s="7"/>
      <c r="U3" s="3" t="s">
        <v>9</v>
      </c>
      <c r="V3" s="13">
        <f>E7+E10+E13</f>
        <v>4976.4199999999837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422819</v>
      </c>
      <c r="AH3" s="7">
        <v>423519</v>
      </c>
      <c r="AI3" s="7">
        <v>423519</v>
      </c>
      <c r="AJ3" s="7"/>
      <c r="AK3" s="7"/>
      <c r="AL3" s="12">
        <f>AH3-AG3</f>
        <v>700</v>
      </c>
      <c r="AM3" s="7">
        <v>1224</v>
      </c>
      <c r="AN3" s="12">
        <f>AI3-AH3</f>
        <v>0</v>
      </c>
      <c r="AO3" s="7">
        <v>1374</v>
      </c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856800</v>
      </c>
      <c r="AU3" s="7"/>
      <c r="AV3" s="3" t="s">
        <v>9</v>
      </c>
      <c r="AW3" s="13">
        <f>AF7+AF10+AF13</f>
        <v>4976</v>
      </c>
      <c r="AX3" s="3"/>
    </row>
    <row r="4" spans="2:50" x14ac:dyDescent="0.25">
      <c r="D4" s="3"/>
      <c r="E4" s="3" t="s">
        <v>11</v>
      </c>
      <c r="F4" s="7">
        <v>315493.34999999998</v>
      </c>
      <c r="G4" s="7">
        <v>316240.48</v>
      </c>
      <c r="H4" s="7">
        <v>316242.07</v>
      </c>
      <c r="I4" s="7"/>
      <c r="J4" s="7"/>
      <c r="K4" s="12">
        <f t="shared" ref="K4:K6" si="0">G4-F4</f>
        <v>747.13000000000466</v>
      </c>
      <c r="L4" s="7">
        <v>1289</v>
      </c>
      <c r="M4" s="12">
        <f t="shared" ref="M4:M6" si="1">H4-G4</f>
        <v>1.5900000000256114</v>
      </c>
      <c r="N4" s="7">
        <v>1374</v>
      </c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965235.23000004119</v>
      </c>
      <c r="T4" s="7"/>
      <c r="U4" s="3" t="s">
        <v>12</v>
      </c>
      <c r="V4" s="13">
        <f>E16</f>
        <v>975.95999999996275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315531</v>
      </c>
      <c r="AH4" s="7">
        <v>316278</v>
      </c>
      <c r="AI4" s="7">
        <v>316279</v>
      </c>
      <c r="AJ4" s="7"/>
      <c r="AK4" s="7"/>
      <c r="AL4" s="12">
        <f t="shared" ref="AL4:AL6" si="4">AH4-AG4</f>
        <v>747</v>
      </c>
      <c r="AM4" s="7">
        <v>1224</v>
      </c>
      <c r="AN4" s="12">
        <f t="shared" ref="AN4:AN6" si="5">AI4-AH4</f>
        <v>1</v>
      </c>
      <c r="AO4" s="7">
        <v>1374</v>
      </c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915702</v>
      </c>
      <c r="AU4" s="7"/>
      <c r="AV4" s="3" t="s">
        <v>12</v>
      </c>
      <c r="AW4" s="13">
        <f>AF16</f>
        <v>976</v>
      </c>
      <c r="AX4" s="3"/>
    </row>
    <row r="5" spans="2:50" x14ac:dyDescent="0.25">
      <c r="D5" s="4"/>
      <c r="E5" s="3" t="s">
        <v>14</v>
      </c>
      <c r="F5" s="7">
        <v>323836.26</v>
      </c>
      <c r="G5" s="7">
        <v>324220.92</v>
      </c>
      <c r="H5" s="7">
        <v>324220.92</v>
      </c>
      <c r="I5" s="7"/>
      <c r="J5" s="7"/>
      <c r="K5" s="12">
        <f t="shared" si="0"/>
        <v>384.65999999997439</v>
      </c>
      <c r="L5" s="7">
        <v>1289</v>
      </c>
      <c r="M5" s="12">
        <f t="shared" si="1"/>
        <v>0</v>
      </c>
      <c r="N5" s="7">
        <v>1374</v>
      </c>
      <c r="O5" s="12">
        <f>I5</f>
        <v>0</v>
      </c>
      <c r="P5" s="7"/>
      <c r="Q5" s="12">
        <f t="shared" si="2"/>
        <v>0</v>
      </c>
      <c r="R5" s="7"/>
      <c r="S5" s="12">
        <f t="shared" si="3"/>
        <v>495826.73999996699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323875</v>
      </c>
      <c r="AH5" s="7">
        <v>324260</v>
      </c>
      <c r="AI5" s="7">
        <v>324260</v>
      </c>
      <c r="AJ5" s="7"/>
      <c r="AK5" s="7"/>
      <c r="AL5" s="12">
        <f t="shared" si="4"/>
        <v>385</v>
      </c>
      <c r="AM5" s="7">
        <v>1224</v>
      </c>
      <c r="AN5" s="12">
        <f t="shared" si="5"/>
        <v>0</v>
      </c>
      <c r="AO5" s="7">
        <v>1374</v>
      </c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471240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508908.27</v>
      </c>
      <c r="G6" s="7">
        <v>509901.32</v>
      </c>
      <c r="H6" s="7">
        <v>510001.41</v>
      </c>
      <c r="I6" s="7"/>
      <c r="J6" s="7"/>
      <c r="K6" s="12">
        <f t="shared" si="0"/>
        <v>993.04999999998836</v>
      </c>
      <c r="L6" s="7">
        <v>1289</v>
      </c>
      <c r="M6" s="12">
        <f t="shared" si="1"/>
        <v>100.0899999999674</v>
      </c>
      <c r="N6" s="7">
        <v>1374</v>
      </c>
      <c r="O6" s="12">
        <f>I6</f>
        <v>0</v>
      </c>
      <c r="P6" s="7"/>
      <c r="Q6" s="12">
        <f t="shared" si="2"/>
        <v>0</v>
      </c>
      <c r="R6" s="7"/>
      <c r="S6" s="12">
        <f t="shared" si="3"/>
        <v>1417565.1099999403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508947</v>
      </c>
      <c r="AH6" s="7">
        <v>509940</v>
      </c>
      <c r="AI6" s="7">
        <v>510040</v>
      </c>
      <c r="AJ6" s="7"/>
      <c r="AK6" s="7"/>
      <c r="AL6" s="12">
        <f t="shared" si="4"/>
        <v>993</v>
      </c>
      <c r="AM6" s="7">
        <v>1224</v>
      </c>
      <c r="AN6" s="12">
        <f t="shared" si="5"/>
        <v>100</v>
      </c>
      <c r="AO6" s="7">
        <v>1374</v>
      </c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1352832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2926.5899999999674</v>
      </c>
      <c r="F7" s="3"/>
      <c r="G7" s="3"/>
      <c r="H7" s="3"/>
      <c r="I7" s="3"/>
      <c r="J7" s="3"/>
      <c r="K7" s="22">
        <f>SUM(K3:K6)</f>
        <v>2824.9099999999744</v>
      </c>
      <c r="L7" s="7"/>
      <c r="M7" s="22">
        <f>SUM(M3:M6)</f>
        <v>101.67999999999302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>
        <v>8900</v>
      </c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2926</v>
      </c>
      <c r="AG7" s="3"/>
      <c r="AH7" s="3"/>
      <c r="AI7" s="3"/>
      <c r="AJ7" s="3"/>
      <c r="AK7" s="3"/>
      <c r="AL7" s="22">
        <f>SUM(AL3:AL6)</f>
        <v>2825</v>
      </c>
      <c r="AM7" s="7"/>
      <c r="AN7" s="22">
        <f>SUM(AN3:AN6)</f>
        <v>101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>
        <v>8900</v>
      </c>
      <c r="AX7" s="3"/>
    </row>
    <row r="8" spans="2:50" x14ac:dyDescent="0.25">
      <c r="D8" s="21"/>
      <c r="E8" s="3" t="s">
        <v>21</v>
      </c>
      <c r="F8" s="7">
        <v>370431.47</v>
      </c>
      <c r="G8" s="7">
        <v>371171.05</v>
      </c>
      <c r="H8" s="7">
        <v>371256.34</v>
      </c>
      <c r="I8" s="7"/>
      <c r="J8" s="7"/>
      <c r="K8" s="12">
        <f t="shared" ref="K8:K9" si="9">G8-F8</f>
        <v>739.5800000000163</v>
      </c>
      <c r="L8" s="7">
        <v>1289</v>
      </c>
      <c r="M8" s="12">
        <f t="shared" ref="M8:M9" si="10">H8-G8</f>
        <v>85.290000000037253</v>
      </c>
      <c r="N8" s="7">
        <v>1374</v>
      </c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1070507.0800000723</v>
      </c>
      <c r="T8" s="7"/>
      <c r="U8" s="8" t="s">
        <v>11</v>
      </c>
      <c r="V8" s="23">
        <v>13800</v>
      </c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484809</v>
      </c>
      <c r="AH8" s="7">
        <v>485549</v>
      </c>
      <c r="AI8" s="7">
        <v>485634</v>
      </c>
      <c r="AJ8" s="7"/>
      <c r="AK8" s="7"/>
      <c r="AL8" s="12">
        <f t="shared" ref="AL8:AL9" si="12">AH8-AG8</f>
        <v>740</v>
      </c>
      <c r="AM8" s="7">
        <v>1224</v>
      </c>
      <c r="AN8" s="12">
        <f t="shared" ref="AN8:AN9" si="13">AI8-AH8</f>
        <v>85</v>
      </c>
      <c r="AO8" s="7">
        <v>1374</v>
      </c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1022550</v>
      </c>
      <c r="AU8" s="7"/>
      <c r="AV8" s="24" t="s">
        <v>11</v>
      </c>
      <c r="AW8" s="23">
        <v>13800</v>
      </c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1289</v>
      </c>
      <c r="M9" s="12">
        <f t="shared" si="10"/>
        <v>0</v>
      </c>
      <c r="N9" s="7">
        <v>1374</v>
      </c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>
        <v>6850</v>
      </c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>
        <v>1374</v>
      </c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>
        <v>6850</v>
      </c>
      <c r="AX9" s="3"/>
    </row>
    <row r="10" spans="2:50" x14ac:dyDescent="0.25">
      <c r="D10" s="21" t="s">
        <v>23</v>
      </c>
      <c r="E10" s="2">
        <f>K10+M10+O10+Q10</f>
        <v>824.87000000005355</v>
      </c>
      <c r="F10" s="3"/>
      <c r="G10" s="3"/>
      <c r="H10" s="3"/>
      <c r="I10" s="3"/>
      <c r="J10" s="3"/>
      <c r="K10" s="22">
        <f>SUM(K8:K9)</f>
        <v>739.5800000000163</v>
      </c>
      <c r="L10" s="7"/>
      <c r="M10" s="22">
        <f>SUM(M8:M9)</f>
        <v>85.290000000037253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825</v>
      </c>
      <c r="AG10" s="3"/>
      <c r="AH10" s="3"/>
      <c r="AI10" s="3"/>
      <c r="AJ10" s="3"/>
      <c r="AK10" s="3"/>
      <c r="AL10" s="22">
        <f>SUM(AL8:AL9)</f>
        <v>740</v>
      </c>
      <c r="AM10" s="7"/>
      <c r="AN10" s="22">
        <f>SUM(AN8:AN9)</f>
        <v>85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478465.43</v>
      </c>
      <c r="G11" s="7">
        <v>479063.13</v>
      </c>
      <c r="H11" s="7">
        <v>479065.31</v>
      </c>
      <c r="I11" s="7"/>
      <c r="J11" s="7"/>
      <c r="K11" s="12">
        <f t="shared" ref="K11:K14" si="17">G11-F11</f>
        <v>597.70000000001164</v>
      </c>
      <c r="L11" s="7">
        <v>1289</v>
      </c>
      <c r="M11" s="12">
        <f t="shared" ref="M11:M12" si="18">H11-G11</f>
        <v>2.1799999999930151</v>
      </c>
      <c r="N11" s="7">
        <v>1374</v>
      </c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773430.62000000535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478502</v>
      </c>
      <c r="AH11" s="7">
        <v>479100</v>
      </c>
      <c r="AI11" s="7">
        <v>479102</v>
      </c>
      <c r="AJ11" s="7"/>
      <c r="AK11" s="7"/>
      <c r="AL11" s="12">
        <f t="shared" ref="AL11:AL12" si="20">AH11-AG11</f>
        <v>598</v>
      </c>
      <c r="AM11" s="7">
        <v>1224</v>
      </c>
      <c r="AN11" s="12">
        <f t="shared" ref="AN11:AN12" si="21">AI11-AH11</f>
        <v>2</v>
      </c>
      <c r="AO11" s="7">
        <v>1374</v>
      </c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734700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542951.39</v>
      </c>
      <c r="G12" s="7">
        <v>543547.38</v>
      </c>
      <c r="H12" s="7">
        <v>543576.47</v>
      </c>
      <c r="I12" s="7"/>
      <c r="J12" s="7"/>
      <c r="K12" s="12">
        <f t="shared" si="17"/>
        <v>595.98999999999069</v>
      </c>
      <c r="L12" s="7">
        <v>1289</v>
      </c>
      <c r="M12" s="12">
        <f t="shared" si="18"/>
        <v>29.089999999967404</v>
      </c>
      <c r="N12" s="7">
        <v>1374</v>
      </c>
      <c r="O12" s="12">
        <f>I12</f>
        <v>0</v>
      </c>
      <c r="P12" s="7"/>
      <c r="Q12" s="12">
        <f t="shared" si="19"/>
        <v>0</v>
      </c>
      <c r="R12" s="7"/>
      <c r="S12" s="12">
        <f t="shared" si="3"/>
        <v>808200.76999994321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542991</v>
      </c>
      <c r="AH12" s="7">
        <v>543587</v>
      </c>
      <c r="AI12" s="7">
        <v>543616</v>
      </c>
      <c r="AJ12" s="7"/>
      <c r="AK12" s="7"/>
      <c r="AL12" s="12">
        <f t="shared" si="20"/>
        <v>596</v>
      </c>
      <c r="AM12" s="7">
        <v>1224</v>
      </c>
      <c r="AN12" s="12">
        <f t="shared" si="21"/>
        <v>29</v>
      </c>
      <c r="AO12" s="7">
        <v>1374</v>
      </c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769350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1224.9599999999627</v>
      </c>
      <c r="F13" s="3"/>
      <c r="G13" s="3"/>
      <c r="H13" s="3"/>
      <c r="I13" s="3"/>
      <c r="J13" s="3"/>
      <c r="K13" s="22">
        <f>SUM(K11:K12)</f>
        <v>1193.6900000000023</v>
      </c>
      <c r="L13" s="7"/>
      <c r="M13" s="22">
        <f>SUM(M11:M12)</f>
        <v>31.269999999960419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 t="s">
        <v>57</v>
      </c>
      <c r="V13" s="3"/>
      <c r="W13" s="28">
        <v>40925.75</v>
      </c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1225</v>
      </c>
      <c r="AG13" s="3"/>
      <c r="AH13" s="3"/>
      <c r="AI13" s="3"/>
      <c r="AJ13" s="3"/>
      <c r="AK13" s="3"/>
      <c r="AL13" s="22">
        <f>SUM(AL11:AL12)</f>
        <v>1194</v>
      </c>
      <c r="AM13" s="7"/>
      <c r="AN13" s="22">
        <f>SUM(AN11:AN12)</f>
        <v>31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464544.08</v>
      </c>
      <c r="G14" s="7">
        <v>465520.04</v>
      </c>
      <c r="H14" s="7">
        <v>465520.04</v>
      </c>
      <c r="I14" s="7"/>
      <c r="J14" s="7"/>
      <c r="K14" s="12">
        <f t="shared" si="17"/>
        <v>975.95999999996275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1824069.2399999304</v>
      </c>
      <c r="T14" s="7"/>
      <c r="U14" s="27" t="s">
        <v>58</v>
      </c>
      <c r="V14" s="3"/>
      <c r="W14" s="3">
        <v>350311.53</v>
      </c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464574</v>
      </c>
      <c r="AH14" s="7">
        <v>465550</v>
      </c>
      <c r="AI14" s="7">
        <v>465550</v>
      </c>
      <c r="AJ14" s="7"/>
      <c r="AK14" s="7"/>
      <c r="AL14" s="12">
        <f t="shared" ref="AL14" si="24">AH14-AG14</f>
        <v>976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1824144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 t="s">
        <v>56</v>
      </c>
      <c r="V15" s="3"/>
      <c r="W15" s="31">
        <v>280350</v>
      </c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975.95999999996275</v>
      </c>
      <c r="F16" s="3"/>
      <c r="G16" s="3"/>
      <c r="H16" s="3"/>
      <c r="I16" s="7"/>
      <c r="K16" s="22">
        <f>SUM(K14:K15)</f>
        <v>975.95999999996275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 t="s">
        <v>59</v>
      </c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976</v>
      </c>
      <c r="AG16" s="32"/>
      <c r="AH16" s="32"/>
      <c r="AI16" s="32"/>
      <c r="AJ16" s="7"/>
      <c r="AL16" s="22">
        <f>SUM(AL14:AL15)</f>
        <v>976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8257225.0199999092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7947318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7000</v>
      </c>
      <c r="G20" s="35">
        <v>14900</v>
      </c>
      <c r="H20" s="36">
        <f>F20+V7-G20</f>
        <v>1000</v>
      </c>
      <c r="I20" s="36">
        <f>E13-H20</f>
        <v>224.95999999996275</v>
      </c>
      <c r="J20" s="37">
        <f>E13*0.085</f>
        <v>104.12159999999685</v>
      </c>
      <c r="K20" s="38">
        <f>I20-J20</f>
        <v>120.8383999999659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7000</v>
      </c>
      <c r="AH20" s="35">
        <v>14900</v>
      </c>
      <c r="AI20" s="36">
        <f>AG20+AW7-AH20</f>
        <v>1000</v>
      </c>
      <c r="AJ20" s="36">
        <f>AF13-AI20</f>
        <v>225</v>
      </c>
      <c r="AK20" s="37">
        <f>AF13*0.085</f>
        <v>104.12500000000001</v>
      </c>
      <c r="AL20" s="38">
        <f>AJ20-AK20</f>
        <v>120.87499999999999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12050</v>
      </c>
      <c r="G21" s="35">
        <v>23000</v>
      </c>
      <c r="H21" s="36">
        <f>F21+V8-G21</f>
        <v>2850</v>
      </c>
      <c r="I21" s="36">
        <f>E7-H21</f>
        <v>76.589999999967404</v>
      </c>
      <c r="J21" s="37">
        <f>E7*0.085</f>
        <v>248.76014999999725</v>
      </c>
      <c r="K21" s="38">
        <f>I21-J21</f>
        <v>-172.17015000002985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12050</v>
      </c>
      <c r="AH21" s="35">
        <v>23000</v>
      </c>
      <c r="AI21" s="36">
        <f>AG21+AW8-AH21</f>
        <v>2850</v>
      </c>
      <c r="AJ21" s="36">
        <f>AF7-AI21</f>
        <v>76</v>
      </c>
      <c r="AK21" s="37">
        <f>AF7*0.085</f>
        <v>248.71</v>
      </c>
      <c r="AL21" s="38">
        <f>AJ21-AK21</f>
        <v>-172.71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6200</v>
      </c>
      <c r="G22" s="35">
        <v>12150</v>
      </c>
      <c r="H22" s="36">
        <f>F22+V9-G22</f>
        <v>900</v>
      </c>
      <c r="I22" s="36">
        <f>E10-H22</f>
        <v>-75.129999999946449</v>
      </c>
      <c r="J22" s="37">
        <f>E10*0.085</f>
        <v>70.11395000000455</v>
      </c>
      <c r="K22" s="38">
        <f>I22-J22</f>
        <v>-145.24394999995098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6200</v>
      </c>
      <c r="AH22" s="35">
        <v>12150</v>
      </c>
      <c r="AI22" s="36">
        <f>AG22+AW9-AH22</f>
        <v>900</v>
      </c>
      <c r="AJ22" s="36">
        <f>AF10-AI22</f>
        <v>-75</v>
      </c>
      <c r="AK22" s="37">
        <f>AF10*0.085</f>
        <v>70.125</v>
      </c>
      <c r="AL22" s="38">
        <f>AJ22-AK22</f>
        <v>-145.125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23050</v>
      </c>
      <c r="G23" s="35">
        <v>22300</v>
      </c>
      <c r="H23" s="36">
        <f>F23+V10-G23</f>
        <v>750</v>
      </c>
      <c r="I23" s="36">
        <f>E16-H23</f>
        <v>225.95999999996275</v>
      </c>
      <c r="J23" s="37">
        <f>E16*0.085</f>
        <v>82.95659999999684</v>
      </c>
      <c r="K23" s="38">
        <f>I23-J23</f>
        <v>143.00339999996589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671587.28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23050</v>
      </c>
      <c r="AH23" s="35">
        <v>22300</v>
      </c>
      <c r="AI23" s="36">
        <f>AG23+AW10-AH23</f>
        <v>750</v>
      </c>
      <c r="AJ23" s="36">
        <f>AF16-AI23</f>
        <v>226</v>
      </c>
      <c r="AK23" s="37">
        <f>AF16*0.085</f>
        <v>82.960000000000008</v>
      </c>
      <c r="AL23" s="38">
        <f>AJ23-AK23</f>
        <v>143.04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833455</v>
      </c>
      <c r="C26" s="46">
        <v>272900</v>
      </c>
      <c r="D26" s="17">
        <v>305700</v>
      </c>
      <c r="E26" s="17">
        <v>1172500</v>
      </c>
      <c r="F26" s="17">
        <v>0</v>
      </c>
      <c r="G26" s="46">
        <v>0</v>
      </c>
      <c r="H26" s="46">
        <v>312235</v>
      </c>
      <c r="I26" s="46">
        <v>0</v>
      </c>
      <c r="J26" s="46">
        <v>4348050</v>
      </c>
      <c r="K26" s="46">
        <v>329795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5987698.4399998439</v>
      </c>
      <c r="R26" s="47">
        <f>SUM(S17-W23-B26-C26-D26-E26-F26-G26-H26-I26-J26-K26-L26-M26-N26-O26-P26+Q26)</f>
        <v>5998701.1799997529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8" workbookViewId="0">
      <selection activeCell="F28" sqref="F28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  <col min="21" max="21" width="17.140625" customWidth="1"/>
    <col min="23" max="23" width="9.5703125" bestFit="1" customWidth="1"/>
  </cols>
  <sheetData>
    <row r="1" spans="2:50" x14ac:dyDescent="0.25">
      <c r="B1" s="1">
        <v>46277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423486.53</v>
      </c>
      <c r="G3" s="7">
        <v>424376.71</v>
      </c>
      <c r="H3" s="7">
        <v>424376.71</v>
      </c>
      <c r="I3" s="7"/>
      <c r="J3" s="7"/>
      <c r="K3" s="12">
        <f>G3-F3</f>
        <v>890.17999999999302</v>
      </c>
      <c r="L3" s="7">
        <v>1374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1223107.3199999905</v>
      </c>
      <c r="T3" s="7"/>
      <c r="U3" s="3" t="s">
        <v>9</v>
      </c>
      <c r="V3" s="13">
        <f>E7+E10+E13</f>
        <v>3599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423519</v>
      </c>
      <c r="AH3" s="7">
        <v>424410</v>
      </c>
      <c r="AI3" s="7">
        <v>424410</v>
      </c>
      <c r="AJ3" s="7"/>
      <c r="AK3" s="7"/>
      <c r="AL3" s="12">
        <f>AH3-AG3</f>
        <v>891</v>
      </c>
      <c r="AM3" s="7">
        <v>1224</v>
      </c>
      <c r="AN3" s="12">
        <f>AI3-AH3</f>
        <v>0</v>
      </c>
      <c r="AO3" s="7">
        <v>1374</v>
      </c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1090584</v>
      </c>
      <c r="AU3" s="7"/>
      <c r="AV3" s="3" t="s">
        <v>9</v>
      </c>
      <c r="AW3" s="13">
        <f>AF7+AF10+AF13</f>
        <v>3602</v>
      </c>
      <c r="AX3" s="3"/>
    </row>
    <row r="4" spans="2:50" x14ac:dyDescent="0.25">
      <c r="D4" s="3"/>
      <c r="E4" s="3" t="s">
        <v>11</v>
      </c>
      <c r="F4" s="7">
        <v>316242.07</v>
      </c>
      <c r="G4" s="7">
        <v>316618.26</v>
      </c>
      <c r="H4" s="7">
        <v>316618.26</v>
      </c>
      <c r="I4" s="7"/>
      <c r="J4" s="7"/>
      <c r="K4" s="12">
        <f t="shared" ref="K4:K6" si="0">G4-F4</f>
        <v>376.19000000000233</v>
      </c>
      <c r="L4" s="7">
        <v>1374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516885.0600000032</v>
      </c>
      <c r="T4" s="7"/>
      <c r="U4" s="3" t="s">
        <v>12</v>
      </c>
      <c r="V4" s="13">
        <f>E16</f>
        <v>209.96000000002095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316279</v>
      </c>
      <c r="AH4" s="7">
        <v>316656</v>
      </c>
      <c r="AI4" s="7">
        <v>316656</v>
      </c>
      <c r="AJ4" s="7"/>
      <c r="AK4" s="7"/>
      <c r="AL4" s="12">
        <f t="shared" ref="AL4:AL6" si="4">AH4-AG4</f>
        <v>377</v>
      </c>
      <c r="AM4" s="7">
        <v>1224</v>
      </c>
      <c r="AN4" s="12">
        <f t="shared" ref="AN4:AN6" si="5">AI4-AH4</f>
        <v>0</v>
      </c>
      <c r="AO4" s="7">
        <v>1374</v>
      </c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461448</v>
      </c>
      <c r="AU4" s="7"/>
      <c r="AV4" s="3" t="s">
        <v>12</v>
      </c>
      <c r="AW4" s="13">
        <f>AF16</f>
        <v>210</v>
      </c>
      <c r="AX4" s="3"/>
    </row>
    <row r="5" spans="2:50" x14ac:dyDescent="0.25">
      <c r="D5" s="4"/>
      <c r="E5" s="3" t="s">
        <v>14</v>
      </c>
      <c r="F5" s="7">
        <v>324220.92</v>
      </c>
      <c r="G5" s="7">
        <v>324570.71999999997</v>
      </c>
      <c r="H5" s="7">
        <v>324570.71999999997</v>
      </c>
      <c r="I5" s="7"/>
      <c r="J5" s="7"/>
      <c r="K5" s="12">
        <f t="shared" si="0"/>
        <v>349.79999999998836</v>
      </c>
      <c r="L5" s="7">
        <v>1374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480625.199999984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324260</v>
      </c>
      <c r="AH5" s="7">
        <v>324610</v>
      </c>
      <c r="AI5" s="7">
        <v>324610</v>
      </c>
      <c r="AJ5" s="7"/>
      <c r="AK5" s="7"/>
      <c r="AL5" s="12">
        <f t="shared" si="4"/>
        <v>350</v>
      </c>
      <c r="AM5" s="7">
        <v>1224</v>
      </c>
      <c r="AN5" s="12">
        <f t="shared" si="5"/>
        <v>0</v>
      </c>
      <c r="AO5" s="7">
        <v>1374</v>
      </c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428400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510001.41</v>
      </c>
      <c r="G6" s="7">
        <v>511079.92</v>
      </c>
      <c r="H6" s="7">
        <v>511079.92</v>
      </c>
      <c r="I6" s="7"/>
      <c r="J6" s="7"/>
      <c r="K6" s="12">
        <f t="shared" si="0"/>
        <v>1078.5100000000093</v>
      </c>
      <c r="L6" s="7">
        <v>1374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1481872.7400000128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510040</v>
      </c>
      <c r="AH6" s="7">
        <v>511119</v>
      </c>
      <c r="AI6" s="7">
        <v>511119</v>
      </c>
      <c r="AJ6" s="7"/>
      <c r="AK6" s="7"/>
      <c r="AL6" s="12">
        <f t="shared" si="4"/>
        <v>1079</v>
      </c>
      <c r="AM6" s="7">
        <v>1224</v>
      </c>
      <c r="AN6" s="12">
        <f t="shared" si="5"/>
        <v>0</v>
      </c>
      <c r="AO6" s="7">
        <v>1374</v>
      </c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1320696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2694.679999999993</v>
      </c>
      <c r="F7" s="3"/>
      <c r="G7" s="3"/>
      <c r="H7" s="3"/>
      <c r="I7" s="3"/>
      <c r="J7" s="3"/>
      <c r="K7" s="22">
        <f>SUM(K3:K6)</f>
        <v>2694.679999999993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2697</v>
      </c>
      <c r="AG7" s="3"/>
      <c r="AH7" s="3"/>
      <c r="AI7" s="3"/>
      <c r="AJ7" s="3"/>
      <c r="AK7" s="3"/>
      <c r="AL7" s="22">
        <f>SUM(AL3:AL6)</f>
        <v>2697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371256.34</v>
      </c>
      <c r="G8" s="7">
        <v>371519.59</v>
      </c>
      <c r="H8" s="7">
        <v>371519.59</v>
      </c>
      <c r="I8" s="7"/>
      <c r="J8" s="7"/>
      <c r="K8" s="12">
        <f t="shared" ref="K8:K9" si="9">G8-F8</f>
        <v>263.25</v>
      </c>
      <c r="L8" s="7">
        <v>1374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361705.5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485634</v>
      </c>
      <c r="AH8" s="7">
        <v>485897</v>
      </c>
      <c r="AI8" s="7">
        <v>485897</v>
      </c>
      <c r="AJ8" s="7"/>
      <c r="AK8" s="7"/>
      <c r="AL8" s="12">
        <f t="shared" ref="AL8:AL9" si="12">AH8-AG8</f>
        <v>263</v>
      </c>
      <c r="AM8" s="7">
        <v>1224</v>
      </c>
      <c r="AN8" s="12">
        <f t="shared" ref="AN8:AN9" si="13">AI8-AH8</f>
        <v>0</v>
      </c>
      <c r="AO8" s="7">
        <v>1374</v>
      </c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321912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1374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>
        <v>1374</v>
      </c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263.25</v>
      </c>
      <c r="F10" s="3"/>
      <c r="G10" s="3"/>
      <c r="H10" s="3"/>
      <c r="I10" s="3"/>
      <c r="J10" s="3"/>
      <c r="K10" s="22">
        <f>SUM(K8:K9)</f>
        <v>263.25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263</v>
      </c>
      <c r="AG10" s="3"/>
      <c r="AH10" s="3"/>
      <c r="AI10" s="3"/>
      <c r="AJ10" s="3"/>
      <c r="AK10" s="3"/>
      <c r="AL10" s="22">
        <f>SUM(AL8:AL9)</f>
        <v>263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479065.31</v>
      </c>
      <c r="G11" s="7">
        <v>479460.02</v>
      </c>
      <c r="H11" s="7">
        <v>479460.02</v>
      </c>
      <c r="I11" s="7"/>
      <c r="J11" s="7"/>
      <c r="K11" s="12">
        <f t="shared" ref="K11:K14" si="17">G11-F11</f>
        <v>394.71000000002095</v>
      </c>
      <c r="L11" s="7">
        <v>1374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542331.54000002879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479102</v>
      </c>
      <c r="AH11" s="7">
        <v>479497</v>
      </c>
      <c r="AI11" s="7">
        <v>479497</v>
      </c>
      <c r="AJ11" s="7"/>
      <c r="AK11" s="7"/>
      <c r="AL11" s="12">
        <f t="shared" ref="AL11:AL12" si="20">AH11-AG11</f>
        <v>395</v>
      </c>
      <c r="AM11" s="7">
        <v>1224</v>
      </c>
      <c r="AN11" s="12">
        <f t="shared" ref="AN11:AN12" si="21">AI11-AH11</f>
        <v>0</v>
      </c>
      <c r="AO11" s="7">
        <v>1374</v>
      </c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483480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543576.47</v>
      </c>
      <c r="G12" s="7">
        <v>543822.82999999996</v>
      </c>
      <c r="H12" s="7">
        <v>543822.82999999996</v>
      </c>
      <c r="I12" s="7"/>
      <c r="J12" s="7"/>
      <c r="K12" s="12">
        <f t="shared" si="17"/>
        <v>246.35999999998603</v>
      </c>
      <c r="L12" s="7">
        <v>1374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338498.63999998081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543616</v>
      </c>
      <c r="AH12" s="7">
        <v>543863</v>
      </c>
      <c r="AI12" s="7">
        <v>543863</v>
      </c>
      <c r="AJ12" s="7"/>
      <c r="AK12" s="7"/>
      <c r="AL12" s="12">
        <f t="shared" si="20"/>
        <v>247</v>
      </c>
      <c r="AM12" s="7">
        <v>1224</v>
      </c>
      <c r="AN12" s="12">
        <f t="shared" si="21"/>
        <v>0</v>
      </c>
      <c r="AO12" s="7">
        <v>1374</v>
      </c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302328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641.07000000000698</v>
      </c>
      <c r="F13" s="3"/>
      <c r="G13" s="3"/>
      <c r="H13" s="3"/>
      <c r="I13" s="3"/>
      <c r="J13" s="3"/>
      <c r="K13" s="22">
        <f>SUM(K11:K12)</f>
        <v>641.07000000000698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642</v>
      </c>
      <c r="AG13" s="3"/>
      <c r="AH13" s="3"/>
      <c r="AI13" s="3"/>
      <c r="AJ13" s="3"/>
      <c r="AK13" s="3"/>
      <c r="AL13" s="22">
        <f>SUM(AL11:AL12)</f>
        <v>642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465520.04</v>
      </c>
      <c r="G14" s="7">
        <v>465730</v>
      </c>
      <c r="H14" s="7">
        <v>465730</v>
      </c>
      <c r="I14" s="7"/>
      <c r="J14" s="7"/>
      <c r="K14" s="12">
        <f t="shared" si="17"/>
        <v>209.96000000002095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392415.24000003916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465550</v>
      </c>
      <c r="AH14" s="7">
        <v>465760</v>
      </c>
      <c r="AI14" s="7">
        <v>465760</v>
      </c>
      <c r="AJ14" s="7"/>
      <c r="AK14" s="7"/>
      <c r="AL14" s="12">
        <f t="shared" ref="AL14" si="24">AH14-AG14</f>
        <v>210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392490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209.96000000002095</v>
      </c>
      <c r="F16" s="3"/>
      <c r="G16" s="3"/>
      <c r="H16" s="3"/>
      <c r="I16" s="7"/>
      <c r="K16" s="22">
        <f>SUM(K14:K15)</f>
        <v>209.96000000002095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210</v>
      </c>
      <c r="AG16" s="32"/>
      <c r="AH16" s="32"/>
      <c r="AI16" s="32"/>
      <c r="AJ16" s="7"/>
      <c r="AL16" s="22">
        <f>SUM(AL14:AL15)</f>
        <v>210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5337441.2400000393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4801338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14900</v>
      </c>
      <c r="G20" s="35">
        <v>14300</v>
      </c>
      <c r="H20" s="36">
        <f>F20+V7-G20</f>
        <v>600</v>
      </c>
      <c r="I20" s="36">
        <f>E13-H20</f>
        <v>41.070000000006985</v>
      </c>
      <c r="J20" s="37">
        <f>E13*0.085</f>
        <v>54.490950000000595</v>
      </c>
      <c r="K20" s="38">
        <f>I20-J20</f>
        <v>-13.42094999999361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14900</v>
      </c>
      <c r="AH20" s="35">
        <v>14300</v>
      </c>
      <c r="AI20" s="36">
        <f>AG20+AW7-AH20</f>
        <v>600</v>
      </c>
      <c r="AJ20" s="36">
        <f>AF13-AI20</f>
        <v>42</v>
      </c>
      <c r="AK20" s="37">
        <f>AF13*0.085</f>
        <v>54.570000000000007</v>
      </c>
      <c r="AL20" s="38">
        <f>AJ20-AK20</f>
        <v>-12.570000000000007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23000</v>
      </c>
      <c r="G21" s="35">
        <v>20450</v>
      </c>
      <c r="H21" s="36">
        <f>F21+V8-G21</f>
        <v>2550</v>
      </c>
      <c r="I21" s="36">
        <f>E7-H21</f>
        <v>144.67999999999302</v>
      </c>
      <c r="J21" s="37">
        <f>E7*0.085</f>
        <v>229.04779999999943</v>
      </c>
      <c r="K21" s="38">
        <f>I21-J21</f>
        <v>-84.367800000006412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23000</v>
      </c>
      <c r="AH21" s="35">
        <v>20450</v>
      </c>
      <c r="AI21" s="36">
        <f>AG21+AW8-AH21</f>
        <v>2550</v>
      </c>
      <c r="AJ21" s="36">
        <f>AF7-AI21</f>
        <v>147</v>
      </c>
      <c r="AK21" s="37">
        <f>AF7*0.085</f>
        <v>229.245</v>
      </c>
      <c r="AL21" s="38">
        <f>AJ21-AK21</f>
        <v>-82.245000000000005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12150</v>
      </c>
      <c r="G22" s="35">
        <v>11900</v>
      </c>
      <c r="H22" s="36">
        <f>F22+V9-G22</f>
        <v>250</v>
      </c>
      <c r="I22" s="36">
        <f>E10-H22</f>
        <v>13.25</v>
      </c>
      <c r="J22" s="37">
        <f>E10*0.085</f>
        <v>22.376250000000002</v>
      </c>
      <c r="K22" s="38">
        <f>I22-J22</f>
        <v>-9.1262500000000024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12150</v>
      </c>
      <c r="AH22" s="35">
        <v>11900</v>
      </c>
      <c r="AI22" s="36">
        <f>AG22+AW9-AH22</f>
        <v>250</v>
      </c>
      <c r="AJ22" s="36">
        <f>AF10-AI22</f>
        <v>13</v>
      </c>
      <c r="AK22" s="37">
        <f>AF10*0.085</f>
        <v>22.355</v>
      </c>
      <c r="AL22" s="38">
        <f>AJ22-AK22</f>
        <v>-9.3550000000000004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22300</v>
      </c>
      <c r="G23" s="35">
        <v>22100</v>
      </c>
      <c r="H23" s="36">
        <f>F23+V10-G23</f>
        <v>200</v>
      </c>
      <c r="I23" s="36">
        <f>E16-H23</f>
        <v>9.9600000000209548</v>
      </c>
      <c r="J23" s="37">
        <f>E16*0.085</f>
        <v>17.846600000001782</v>
      </c>
      <c r="K23" s="38">
        <f>I23-J23</f>
        <v>-7.8865999999808274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22300</v>
      </c>
      <c r="AH23" s="35">
        <v>22100</v>
      </c>
      <c r="AI23" s="36">
        <f>AG23+AW10-AH23</f>
        <v>200</v>
      </c>
      <c r="AJ23" s="36">
        <f>AF16-AI23</f>
        <v>10</v>
      </c>
      <c r="AK23" s="37">
        <f>AF16*0.085</f>
        <v>17.850000000000001</v>
      </c>
      <c r="AL23" s="38">
        <f>AJ23-AK23</f>
        <v>-7.8500000000000014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179070</v>
      </c>
      <c r="C26" s="46">
        <v>630100</v>
      </c>
      <c r="D26" s="17">
        <v>0</v>
      </c>
      <c r="E26" s="17">
        <v>0</v>
      </c>
      <c r="F26" s="17">
        <v>0</v>
      </c>
      <c r="G26" s="46">
        <v>232500</v>
      </c>
      <c r="H26" s="46">
        <v>0</v>
      </c>
      <c r="I26" s="46">
        <v>3642110</v>
      </c>
      <c r="J26" s="46">
        <v>14000</v>
      </c>
      <c r="K26" s="46">
        <v>0</v>
      </c>
      <c r="L26" s="46">
        <v>0</v>
      </c>
      <c r="M26" s="46">
        <v>0</v>
      </c>
      <c r="N26" s="46">
        <v>67500</v>
      </c>
      <c r="O26" s="46">
        <v>0</v>
      </c>
      <c r="P26" s="46">
        <v>438650</v>
      </c>
      <c r="Q26" s="46">
        <v>5998701.1799999997</v>
      </c>
      <c r="R26" s="47">
        <f>SUM(S17-W23-B26-C26-D26-E26-F26-G26-H26-I26-J26-K26-L26-M26-N26-O26-P26+Q26)</f>
        <v>6132212.420000039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11" workbookViewId="0">
      <selection activeCell="M30" sqref="M30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  <col min="21" max="21" width="17.140625" customWidth="1"/>
    <col min="23" max="23" width="9.5703125" bestFit="1" customWidth="1"/>
  </cols>
  <sheetData>
    <row r="1" spans="2:50" x14ac:dyDescent="0.25">
      <c r="B1" s="1">
        <v>46278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424376.71</v>
      </c>
      <c r="G3" s="7">
        <v>424985</v>
      </c>
      <c r="H3" s="7">
        <v>424985</v>
      </c>
      <c r="I3" s="7"/>
      <c r="J3" s="7"/>
      <c r="K3" s="12">
        <f>G3-F3</f>
        <v>608.28999999997905</v>
      </c>
      <c r="L3" s="7">
        <v>1374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835790.45999997121</v>
      </c>
      <c r="T3" s="7"/>
      <c r="U3" s="3" t="s">
        <v>9</v>
      </c>
      <c r="V3" s="13">
        <f>E7+E10+E13</f>
        <v>3741.9900000000489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424410</v>
      </c>
      <c r="AH3" s="7">
        <v>425018</v>
      </c>
      <c r="AI3" s="7">
        <v>425018</v>
      </c>
      <c r="AJ3" s="7"/>
      <c r="AK3" s="7"/>
      <c r="AL3" s="12">
        <f>AH3-AG3</f>
        <v>608</v>
      </c>
      <c r="AM3" s="7">
        <v>1224</v>
      </c>
      <c r="AN3" s="12">
        <f>AI3-AH3</f>
        <v>0</v>
      </c>
      <c r="AO3" s="7">
        <v>1374</v>
      </c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744192</v>
      </c>
      <c r="AU3" s="7"/>
      <c r="AV3" s="3" t="s">
        <v>9</v>
      </c>
      <c r="AW3" s="13">
        <f>AF7+AF10+AF13</f>
        <v>3739</v>
      </c>
      <c r="AX3" s="3"/>
    </row>
    <row r="4" spans="2:50" x14ac:dyDescent="0.25">
      <c r="D4" s="3"/>
      <c r="E4" s="3" t="s">
        <v>11</v>
      </c>
      <c r="F4" s="7">
        <v>316618.26</v>
      </c>
      <c r="G4" s="7">
        <v>316947.90999999997</v>
      </c>
      <c r="H4" s="7">
        <v>316947.90999999997</v>
      </c>
      <c r="I4" s="7"/>
      <c r="J4" s="7"/>
      <c r="K4" s="12">
        <f t="shared" ref="K4:K6" si="0">G4-F4</f>
        <v>329.64999999996508</v>
      </c>
      <c r="L4" s="7">
        <v>1374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452939.09999995201</v>
      </c>
      <c r="T4" s="7"/>
      <c r="U4" s="3" t="s">
        <v>12</v>
      </c>
      <c r="V4" s="13">
        <f>E16</f>
        <v>276.48999999999069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316656</v>
      </c>
      <c r="AH4" s="7">
        <v>316985</v>
      </c>
      <c r="AI4" s="7">
        <v>316985</v>
      </c>
      <c r="AJ4" s="7"/>
      <c r="AK4" s="7"/>
      <c r="AL4" s="12">
        <f t="shared" ref="AL4:AL6" si="4">AH4-AG4</f>
        <v>329</v>
      </c>
      <c r="AM4" s="7">
        <v>1224</v>
      </c>
      <c r="AN4" s="12">
        <f t="shared" ref="AN4:AN6" si="5">AI4-AH4</f>
        <v>0</v>
      </c>
      <c r="AO4" s="7">
        <v>1374</v>
      </c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402696</v>
      </c>
      <c r="AU4" s="7"/>
      <c r="AV4" s="3" t="s">
        <v>12</v>
      </c>
      <c r="AW4" s="13">
        <f>AF16</f>
        <v>276</v>
      </c>
      <c r="AX4" s="3"/>
    </row>
    <row r="5" spans="2:50" x14ac:dyDescent="0.25">
      <c r="D5" s="4"/>
      <c r="E5" s="3" t="s">
        <v>14</v>
      </c>
      <c r="F5" s="7">
        <v>324570.71999999997</v>
      </c>
      <c r="G5" s="7">
        <v>324962.45</v>
      </c>
      <c r="H5" s="7">
        <v>324962.45</v>
      </c>
      <c r="I5" s="7"/>
      <c r="J5" s="7"/>
      <c r="K5" s="12">
        <f t="shared" si="0"/>
        <v>391.73000000003958</v>
      </c>
      <c r="L5" s="7">
        <v>1374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538237.02000005438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324610</v>
      </c>
      <c r="AH5" s="7">
        <v>325001</v>
      </c>
      <c r="AI5" s="7">
        <v>325001</v>
      </c>
      <c r="AJ5" s="7"/>
      <c r="AK5" s="7"/>
      <c r="AL5" s="12">
        <f t="shared" si="4"/>
        <v>391</v>
      </c>
      <c r="AM5" s="7">
        <v>1224</v>
      </c>
      <c r="AN5" s="12">
        <f t="shared" si="5"/>
        <v>0</v>
      </c>
      <c r="AO5" s="7">
        <v>1374</v>
      </c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478584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511079.92</v>
      </c>
      <c r="G6" s="7">
        <v>511945.45</v>
      </c>
      <c r="H6" s="7">
        <v>511945.45</v>
      </c>
      <c r="I6" s="7"/>
      <c r="J6" s="7"/>
      <c r="K6" s="12">
        <f t="shared" si="0"/>
        <v>865.53000000002794</v>
      </c>
      <c r="L6" s="7">
        <v>1374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1189238.2200000384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511119</v>
      </c>
      <c r="AH6" s="7">
        <v>511984</v>
      </c>
      <c r="AI6" s="7">
        <v>511984</v>
      </c>
      <c r="AJ6" s="7"/>
      <c r="AK6" s="7"/>
      <c r="AL6" s="12">
        <f t="shared" si="4"/>
        <v>865</v>
      </c>
      <c r="AM6" s="7">
        <v>1224</v>
      </c>
      <c r="AN6" s="12">
        <f t="shared" si="5"/>
        <v>0</v>
      </c>
      <c r="AO6" s="7">
        <v>1374</v>
      </c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1058760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2195.2000000000116</v>
      </c>
      <c r="F7" s="3"/>
      <c r="G7" s="3"/>
      <c r="H7" s="3"/>
      <c r="I7" s="3"/>
      <c r="J7" s="3"/>
      <c r="K7" s="22">
        <f>SUM(K3:K6)</f>
        <v>2195.2000000000116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2193</v>
      </c>
      <c r="AG7" s="3"/>
      <c r="AH7" s="3"/>
      <c r="AI7" s="3"/>
      <c r="AJ7" s="3"/>
      <c r="AK7" s="3"/>
      <c r="AL7" s="22">
        <f>SUM(AL3:AL6)</f>
        <v>2193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371519.59</v>
      </c>
      <c r="G8" s="7">
        <v>372036.52</v>
      </c>
      <c r="H8" s="7">
        <v>372036.52</v>
      </c>
      <c r="I8" s="7"/>
      <c r="J8" s="7"/>
      <c r="K8" s="12">
        <f t="shared" ref="K8:K9" si="9">G8-F8</f>
        <v>516.92999999999302</v>
      </c>
      <c r="L8" s="7">
        <v>1374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710261.8199999904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485897</v>
      </c>
      <c r="AH8" s="7">
        <v>486414</v>
      </c>
      <c r="AI8" s="7">
        <v>486414</v>
      </c>
      <c r="AJ8" s="7"/>
      <c r="AK8" s="7"/>
      <c r="AL8" s="12">
        <f t="shared" ref="AL8:AL9" si="12">AH8-AG8</f>
        <v>517</v>
      </c>
      <c r="AM8" s="7">
        <v>1224</v>
      </c>
      <c r="AN8" s="12">
        <f t="shared" ref="AN8:AN9" si="13">AI8-AH8</f>
        <v>0</v>
      </c>
      <c r="AO8" s="7">
        <v>1374</v>
      </c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632808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1374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>
        <v>1374</v>
      </c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516.92999999999302</v>
      </c>
      <c r="F10" s="3"/>
      <c r="G10" s="3"/>
      <c r="H10" s="3"/>
      <c r="I10" s="3"/>
      <c r="J10" s="3"/>
      <c r="K10" s="22">
        <f>SUM(K8:K9)</f>
        <v>516.92999999999302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517</v>
      </c>
      <c r="AG10" s="3"/>
      <c r="AH10" s="3"/>
      <c r="AI10" s="3"/>
      <c r="AJ10" s="3"/>
      <c r="AK10" s="3"/>
      <c r="AL10" s="22">
        <f>SUM(AL8:AL9)</f>
        <v>517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479460.02</v>
      </c>
      <c r="G11" s="7">
        <v>479910.34</v>
      </c>
      <c r="H11" s="7">
        <v>479910.34</v>
      </c>
      <c r="I11" s="7"/>
      <c r="J11" s="7"/>
      <c r="K11" s="12">
        <f t="shared" ref="K11:K14" si="17">G11-F11</f>
        <v>450.32000000000698</v>
      </c>
      <c r="L11" s="7">
        <v>1374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618739.6800000096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479497</v>
      </c>
      <c r="AH11" s="7">
        <v>479947</v>
      </c>
      <c r="AI11" s="7">
        <v>479947</v>
      </c>
      <c r="AJ11" s="7"/>
      <c r="AK11" s="7"/>
      <c r="AL11" s="12">
        <f t="shared" ref="AL11:AL12" si="20">AH11-AG11</f>
        <v>450</v>
      </c>
      <c r="AM11" s="7">
        <v>1224</v>
      </c>
      <c r="AN11" s="12">
        <f t="shared" ref="AN11:AN12" si="21">AI11-AH11</f>
        <v>0</v>
      </c>
      <c r="AO11" s="7">
        <v>1374</v>
      </c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550800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543822.82999999996</v>
      </c>
      <c r="G12" s="7">
        <v>544402.37</v>
      </c>
      <c r="H12" s="7">
        <v>544402.37</v>
      </c>
      <c r="I12" s="7"/>
      <c r="J12" s="7"/>
      <c r="K12" s="12">
        <f t="shared" si="17"/>
        <v>579.54000000003725</v>
      </c>
      <c r="L12" s="7">
        <v>1374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796287.96000005119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543863</v>
      </c>
      <c r="AH12" s="7">
        <v>544442</v>
      </c>
      <c r="AI12" s="7">
        <v>544442</v>
      </c>
      <c r="AJ12" s="7"/>
      <c r="AK12" s="7"/>
      <c r="AL12" s="12">
        <f t="shared" si="20"/>
        <v>579</v>
      </c>
      <c r="AM12" s="7">
        <v>1224</v>
      </c>
      <c r="AN12" s="12">
        <f t="shared" si="21"/>
        <v>0</v>
      </c>
      <c r="AO12" s="7">
        <v>1374</v>
      </c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708696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1029.8600000000442</v>
      </c>
      <c r="F13" s="3"/>
      <c r="G13" s="3"/>
      <c r="H13" s="3"/>
      <c r="I13" s="3"/>
      <c r="J13" s="3"/>
      <c r="K13" s="22">
        <f>SUM(K11:K12)</f>
        <v>1029.8600000000442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1029</v>
      </c>
      <c r="AG13" s="3"/>
      <c r="AH13" s="3"/>
      <c r="AI13" s="3"/>
      <c r="AJ13" s="3"/>
      <c r="AK13" s="3"/>
      <c r="AL13" s="22">
        <f>SUM(AL11:AL12)</f>
        <v>1029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465730</v>
      </c>
      <c r="G14" s="7">
        <v>466006.49</v>
      </c>
      <c r="H14" s="7">
        <v>466006.49</v>
      </c>
      <c r="I14" s="7"/>
      <c r="J14" s="7"/>
      <c r="K14" s="12">
        <f t="shared" si="17"/>
        <v>276.48999999999069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516759.80999998259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465760</v>
      </c>
      <c r="AH14" s="7">
        <v>466036</v>
      </c>
      <c r="AI14" s="7">
        <v>466036</v>
      </c>
      <c r="AJ14" s="7"/>
      <c r="AK14" s="7"/>
      <c r="AL14" s="12">
        <f t="shared" ref="AL14" si="24">AH14-AG14</f>
        <v>276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515844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276.48999999999069</v>
      </c>
      <c r="F16" s="3"/>
      <c r="G16" s="3"/>
      <c r="H16" s="3"/>
      <c r="I16" s="7"/>
      <c r="K16" s="22">
        <f>SUM(K14:K15)</f>
        <v>276.48999999999069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276</v>
      </c>
      <c r="AG16" s="32"/>
      <c r="AH16" s="32"/>
      <c r="AI16" s="32"/>
      <c r="AJ16" s="7"/>
      <c r="AL16" s="22">
        <f>SUM(AL14:AL15)</f>
        <v>276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5658254.0700000506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5092380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14300</v>
      </c>
      <c r="G20" s="35">
        <v>13350</v>
      </c>
      <c r="H20" s="36">
        <f>F20+V7-G20</f>
        <v>950</v>
      </c>
      <c r="I20" s="36">
        <f>E13-H20</f>
        <v>79.860000000044238</v>
      </c>
      <c r="J20" s="37">
        <f>E13*0.085</f>
        <v>87.538100000003766</v>
      </c>
      <c r="K20" s="38">
        <f>I20-J20</f>
        <v>-7.6780999999595281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14300</v>
      </c>
      <c r="AH20" s="35">
        <v>13350</v>
      </c>
      <c r="AI20" s="36">
        <f>AG20+AW7-AH20</f>
        <v>950</v>
      </c>
      <c r="AJ20" s="36">
        <f>AF13-AI20</f>
        <v>79</v>
      </c>
      <c r="AK20" s="37">
        <f>AF13*0.085</f>
        <v>87.465000000000003</v>
      </c>
      <c r="AL20" s="38">
        <f>AJ20-AK20</f>
        <v>-8.4650000000000034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20450</v>
      </c>
      <c r="G21" s="35">
        <v>18400</v>
      </c>
      <c r="H21" s="36">
        <f>F21+V8-G21</f>
        <v>2050</v>
      </c>
      <c r="I21" s="36">
        <f>E7-H21</f>
        <v>145.20000000001164</v>
      </c>
      <c r="J21" s="37">
        <f>E7*0.085</f>
        <v>186.59200000000101</v>
      </c>
      <c r="K21" s="38">
        <f>I21-J21</f>
        <v>-41.391999999989366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20450</v>
      </c>
      <c r="AH21" s="35">
        <v>18400</v>
      </c>
      <c r="AI21" s="36">
        <f>AG21+AW8-AH21</f>
        <v>2050</v>
      </c>
      <c r="AJ21" s="36">
        <f>AF7-AI21</f>
        <v>143</v>
      </c>
      <c r="AK21" s="37">
        <f>AF7*0.085</f>
        <v>186.405</v>
      </c>
      <c r="AL21" s="38">
        <f>AJ21-AK21</f>
        <v>-43.405000000000001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11900</v>
      </c>
      <c r="G22" s="35">
        <v>11400</v>
      </c>
      <c r="H22" s="36">
        <f>F22+V9-G22</f>
        <v>500</v>
      </c>
      <c r="I22" s="36">
        <f>E10-H22</f>
        <v>16.929999999993015</v>
      </c>
      <c r="J22" s="37">
        <f>E10*0.085</f>
        <v>43.939049999999412</v>
      </c>
      <c r="K22" s="38">
        <f>I22-J22</f>
        <v>-27.009050000006397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11900</v>
      </c>
      <c r="AH22" s="35">
        <v>11400</v>
      </c>
      <c r="AI22" s="36">
        <f>AG22+AW9-AH22</f>
        <v>500</v>
      </c>
      <c r="AJ22" s="36">
        <f>AF10-AI22</f>
        <v>17</v>
      </c>
      <c r="AK22" s="37">
        <f>AF10*0.085</f>
        <v>43.945</v>
      </c>
      <c r="AL22" s="38">
        <f>AJ22-AK22</f>
        <v>-26.945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22100</v>
      </c>
      <c r="G23" s="35">
        <v>21850</v>
      </c>
      <c r="H23" s="36">
        <f>F23+V10-G23</f>
        <v>250</v>
      </c>
      <c r="I23" s="36">
        <f>E16-H23</f>
        <v>26.489999999990687</v>
      </c>
      <c r="J23" s="37">
        <f>E16*0.085</f>
        <v>23.501649999999209</v>
      </c>
      <c r="K23" s="38">
        <f>I23-J23</f>
        <v>2.9883499999914775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22100</v>
      </c>
      <c r="AH23" s="35">
        <v>21850</v>
      </c>
      <c r="AI23" s="36">
        <f>AG23+AW10-AH23</f>
        <v>250</v>
      </c>
      <c r="AJ23" s="36">
        <f>AF16-AI23</f>
        <v>26</v>
      </c>
      <c r="AK23" s="37">
        <f>AF16*0.085</f>
        <v>23.46</v>
      </c>
      <c r="AL23" s="38">
        <f>AJ23-AK23</f>
        <v>2.5399999999999991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295370</v>
      </c>
      <c r="C26" s="46">
        <v>383100</v>
      </c>
      <c r="D26" s="17">
        <v>536897.34</v>
      </c>
      <c r="E26" s="17">
        <v>0</v>
      </c>
      <c r="F26" s="17">
        <v>0</v>
      </c>
      <c r="G26" s="46">
        <v>0</v>
      </c>
      <c r="H26" s="46">
        <v>0</v>
      </c>
      <c r="I26" s="46">
        <v>56000</v>
      </c>
      <c r="J26" s="46">
        <v>3461972.22</v>
      </c>
      <c r="K26" s="46">
        <v>228600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6132212.4199999999</v>
      </c>
      <c r="R26" s="47">
        <f>SUM(S17-W23-B26-C26-D26-E26-F26-G26-H26-I26-J26-K26-L26-M26-N26-O26-P26+Q26)</f>
        <v>6828526.93000005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7" workbookViewId="0">
      <selection activeCell="J28" sqref="J28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  <col min="21" max="21" width="17.140625" customWidth="1"/>
    <col min="23" max="23" width="9.5703125" bestFit="1" customWidth="1"/>
  </cols>
  <sheetData>
    <row r="1" spans="2:50" x14ac:dyDescent="0.25">
      <c r="B1" s="1">
        <v>46279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424985</v>
      </c>
      <c r="G3" s="7">
        <v>425659.99</v>
      </c>
      <c r="H3" s="7">
        <v>425659.99</v>
      </c>
      <c r="I3" s="7"/>
      <c r="J3" s="7"/>
      <c r="K3" s="12">
        <f>G3-F3</f>
        <v>674.98999999999069</v>
      </c>
      <c r="L3" s="7">
        <v>1374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927436.2599999872</v>
      </c>
      <c r="T3" s="7"/>
      <c r="U3" s="3" t="s">
        <v>9</v>
      </c>
      <c r="V3" s="13">
        <f>E7+E10+E13</f>
        <v>4157.8699999998789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425018</v>
      </c>
      <c r="AH3" s="7">
        <v>425693</v>
      </c>
      <c r="AI3" s="7">
        <v>425693</v>
      </c>
      <c r="AJ3" s="7"/>
      <c r="AK3" s="7"/>
      <c r="AL3" s="12">
        <f>AH3-AG3</f>
        <v>675</v>
      </c>
      <c r="AM3" s="7">
        <v>1224</v>
      </c>
      <c r="AN3" s="12">
        <f>AI3-AH3</f>
        <v>0</v>
      </c>
      <c r="AO3" s="7">
        <v>1374</v>
      </c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826200</v>
      </c>
      <c r="AU3" s="7"/>
      <c r="AV3" s="3" t="s">
        <v>9</v>
      </c>
      <c r="AW3" s="13">
        <f>AF7+AF10+AF13</f>
        <v>4159</v>
      </c>
      <c r="AX3" s="3"/>
    </row>
    <row r="4" spans="2:50" x14ac:dyDescent="0.25">
      <c r="D4" s="3"/>
      <c r="E4" s="3" t="s">
        <v>11</v>
      </c>
      <c r="F4" s="7">
        <v>316947.90999999997</v>
      </c>
      <c r="G4" s="7">
        <v>317273.71000000002</v>
      </c>
      <c r="H4" s="7">
        <v>317273.71000000002</v>
      </c>
      <c r="I4" s="7"/>
      <c r="J4" s="7"/>
      <c r="K4" s="12">
        <f t="shared" ref="K4:K6" si="0">G4-F4</f>
        <v>325.80000000004657</v>
      </c>
      <c r="L4" s="7">
        <v>1374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447649.20000006398</v>
      </c>
      <c r="T4" s="7"/>
      <c r="U4" s="3" t="s">
        <v>12</v>
      </c>
      <c r="V4" s="13">
        <f>E16</f>
        <v>268.6699999999837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316985</v>
      </c>
      <c r="AH4" s="7">
        <v>317311</v>
      </c>
      <c r="AI4" s="7">
        <v>317311</v>
      </c>
      <c r="AJ4" s="7"/>
      <c r="AK4" s="7"/>
      <c r="AL4" s="12">
        <f t="shared" ref="AL4:AL6" si="4">AH4-AG4</f>
        <v>326</v>
      </c>
      <c r="AM4" s="7">
        <v>1224</v>
      </c>
      <c r="AN4" s="12">
        <f t="shared" ref="AN4:AN6" si="5">AI4-AH4</f>
        <v>0</v>
      </c>
      <c r="AO4" s="7">
        <v>1374</v>
      </c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399024</v>
      </c>
      <c r="AU4" s="7"/>
      <c r="AV4" s="3" t="s">
        <v>12</v>
      </c>
      <c r="AW4" s="13">
        <f>AF16</f>
        <v>269</v>
      </c>
      <c r="AX4" s="3"/>
    </row>
    <row r="5" spans="2:50" x14ac:dyDescent="0.25">
      <c r="D5" s="4"/>
      <c r="E5" s="3" t="s">
        <v>14</v>
      </c>
      <c r="F5" s="7">
        <v>324962.45</v>
      </c>
      <c r="G5" s="7">
        <v>325307.96999999997</v>
      </c>
      <c r="H5" s="7">
        <v>325307.96999999997</v>
      </c>
      <c r="I5" s="7"/>
      <c r="J5" s="7"/>
      <c r="K5" s="12">
        <f t="shared" si="0"/>
        <v>345.51999999996042</v>
      </c>
      <c r="L5" s="7">
        <v>1374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474744.47999994562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325001</v>
      </c>
      <c r="AH5" s="7">
        <v>325347</v>
      </c>
      <c r="AI5" s="7">
        <v>325347</v>
      </c>
      <c r="AJ5" s="7"/>
      <c r="AK5" s="7"/>
      <c r="AL5" s="12">
        <f t="shared" si="4"/>
        <v>346</v>
      </c>
      <c r="AM5" s="7">
        <v>1224</v>
      </c>
      <c r="AN5" s="12">
        <f t="shared" si="5"/>
        <v>0</v>
      </c>
      <c r="AO5" s="7">
        <v>1374</v>
      </c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423504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511945.45</v>
      </c>
      <c r="G6" s="7">
        <v>512890.22</v>
      </c>
      <c r="H6" s="7">
        <v>512890.22</v>
      </c>
      <c r="I6" s="7"/>
      <c r="J6" s="7"/>
      <c r="K6" s="12">
        <f t="shared" si="0"/>
        <v>944.76999999996042</v>
      </c>
      <c r="L6" s="7">
        <v>1374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1298113.9799999455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511984</v>
      </c>
      <c r="AH6" s="7">
        <v>512929</v>
      </c>
      <c r="AI6" s="7">
        <v>512929</v>
      </c>
      <c r="AJ6" s="7"/>
      <c r="AK6" s="7"/>
      <c r="AL6" s="12">
        <f t="shared" si="4"/>
        <v>945</v>
      </c>
      <c r="AM6" s="7">
        <v>1224</v>
      </c>
      <c r="AN6" s="12">
        <f t="shared" si="5"/>
        <v>0</v>
      </c>
      <c r="AO6" s="7">
        <v>1374</v>
      </c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1156680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2291.0799999999581</v>
      </c>
      <c r="F7" s="3"/>
      <c r="G7" s="3"/>
      <c r="H7" s="3"/>
      <c r="I7" s="3"/>
      <c r="J7" s="3"/>
      <c r="K7" s="22">
        <f>SUM(K3:K6)</f>
        <v>2291.0799999999581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2292</v>
      </c>
      <c r="AG7" s="3"/>
      <c r="AH7" s="3"/>
      <c r="AI7" s="3"/>
      <c r="AJ7" s="3"/>
      <c r="AK7" s="3"/>
      <c r="AL7" s="22">
        <f>SUM(AL3:AL6)</f>
        <v>2292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372036.52</v>
      </c>
      <c r="G8" s="7">
        <v>372924.65</v>
      </c>
      <c r="H8" s="7">
        <v>372924.65</v>
      </c>
      <c r="I8" s="7"/>
      <c r="J8" s="7"/>
      <c r="K8" s="12">
        <f t="shared" ref="K8:K9" si="9">G8-F8</f>
        <v>888.13000000000466</v>
      </c>
      <c r="L8" s="7">
        <v>1374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1220290.6200000064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486414</v>
      </c>
      <c r="AH8" s="7">
        <v>487302</v>
      </c>
      <c r="AI8" s="7">
        <v>487302</v>
      </c>
      <c r="AJ8" s="7"/>
      <c r="AK8" s="7"/>
      <c r="AL8" s="12">
        <f t="shared" ref="AL8:AL9" si="12">AH8-AG8</f>
        <v>888</v>
      </c>
      <c r="AM8" s="7">
        <v>1224</v>
      </c>
      <c r="AN8" s="12">
        <f t="shared" ref="AN8:AN9" si="13">AI8-AH8</f>
        <v>0</v>
      </c>
      <c r="AO8" s="7">
        <v>1374</v>
      </c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1086912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1374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1224</v>
      </c>
      <c r="AN9" s="12">
        <f t="shared" si="13"/>
        <v>0</v>
      </c>
      <c r="AO9" s="7">
        <v>1374</v>
      </c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888.13000000000466</v>
      </c>
      <c r="F10" s="3"/>
      <c r="G10" s="3"/>
      <c r="H10" s="3"/>
      <c r="I10" s="3"/>
      <c r="J10" s="3"/>
      <c r="K10" s="22">
        <f>SUM(K8:K9)</f>
        <v>888.13000000000466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888</v>
      </c>
      <c r="AG10" s="3"/>
      <c r="AH10" s="3"/>
      <c r="AI10" s="3"/>
      <c r="AJ10" s="3"/>
      <c r="AK10" s="3"/>
      <c r="AL10" s="22">
        <f>SUM(AL8:AL9)</f>
        <v>888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479910.34</v>
      </c>
      <c r="G11" s="7">
        <v>480595.04</v>
      </c>
      <c r="H11" s="7">
        <v>480595.04</v>
      </c>
      <c r="I11" s="7"/>
      <c r="J11" s="7"/>
      <c r="K11" s="12">
        <f t="shared" ref="K11:K14" si="17">G11-F11</f>
        <v>684.69999999995343</v>
      </c>
      <c r="L11" s="7">
        <v>1374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940777.79999993602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479947</v>
      </c>
      <c r="AH11" s="7">
        <v>480632</v>
      </c>
      <c r="AI11" s="7">
        <v>480632</v>
      </c>
      <c r="AJ11" s="7"/>
      <c r="AK11" s="7"/>
      <c r="AL11" s="12">
        <f t="shared" ref="AL11:AL12" si="20">AH11-AG11</f>
        <v>685</v>
      </c>
      <c r="AM11" s="7">
        <v>1224</v>
      </c>
      <c r="AN11" s="12">
        <f t="shared" ref="AN11:AN12" si="21">AI11-AH11</f>
        <v>0</v>
      </c>
      <c r="AO11" s="7">
        <v>1374</v>
      </c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838440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544402.37</v>
      </c>
      <c r="G12" s="7">
        <v>544696.32999999996</v>
      </c>
      <c r="H12" s="7">
        <v>544696.32999999996</v>
      </c>
      <c r="I12" s="7"/>
      <c r="J12" s="7"/>
      <c r="K12" s="12">
        <f t="shared" si="17"/>
        <v>293.95999999996275</v>
      </c>
      <c r="L12" s="7">
        <v>1374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403901.03999994881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544442</v>
      </c>
      <c r="AH12" s="7">
        <v>544736</v>
      </c>
      <c r="AI12" s="7">
        <v>544736</v>
      </c>
      <c r="AJ12" s="7"/>
      <c r="AK12" s="7"/>
      <c r="AL12" s="12">
        <f t="shared" si="20"/>
        <v>294</v>
      </c>
      <c r="AM12" s="7">
        <v>1224</v>
      </c>
      <c r="AN12" s="12">
        <f t="shared" si="21"/>
        <v>0</v>
      </c>
      <c r="AO12" s="7">
        <v>1374</v>
      </c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359856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978.65999999991618</v>
      </c>
      <c r="F13" s="3"/>
      <c r="G13" s="3"/>
      <c r="H13" s="3"/>
      <c r="I13" s="3"/>
      <c r="J13" s="3"/>
      <c r="K13" s="22">
        <f>SUM(K11:K12)</f>
        <v>978.65999999991618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979</v>
      </c>
      <c r="AG13" s="3"/>
      <c r="AH13" s="3"/>
      <c r="AI13" s="3"/>
      <c r="AJ13" s="3"/>
      <c r="AK13" s="3"/>
      <c r="AL13" s="22">
        <f>SUM(AL11:AL12)</f>
        <v>979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466006.49</v>
      </c>
      <c r="G14" s="7">
        <v>466275.16</v>
      </c>
      <c r="H14" s="7">
        <v>466275.16</v>
      </c>
      <c r="I14" s="7"/>
      <c r="J14" s="7"/>
      <c r="K14" s="12">
        <f t="shared" si="17"/>
        <v>268.6699999999837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502144.22999996954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466036</v>
      </c>
      <c r="AH14" s="7">
        <v>466305</v>
      </c>
      <c r="AI14" s="7">
        <v>466305</v>
      </c>
      <c r="AJ14" s="7"/>
      <c r="AK14" s="7"/>
      <c r="AL14" s="12">
        <f t="shared" ref="AL14" si="24">AH14-AG14</f>
        <v>269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502761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268.6699999999837</v>
      </c>
      <c r="F16" s="3"/>
      <c r="G16" s="3"/>
      <c r="H16" s="3"/>
      <c r="I16" s="7"/>
      <c r="K16" s="22">
        <f>SUM(K14:K15)</f>
        <v>268.6699999999837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269</v>
      </c>
      <c r="AG16" s="32"/>
      <c r="AH16" s="32"/>
      <c r="AI16" s="32"/>
      <c r="AJ16" s="7"/>
      <c r="AL16" s="22">
        <f>SUM(AL14:AL15)</f>
        <v>269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6215057.6099998029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5593377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13350</v>
      </c>
      <c r="G20" s="35">
        <v>12350</v>
      </c>
      <c r="H20" s="36">
        <f>F20+V7-G20</f>
        <v>1000</v>
      </c>
      <c r="I20" s="36">
        <f>E13-H20</f>
        <v>-21.340000000083819</v>
      </c>
      <c r="J20" s="37">
        <f>E13*0.085</f>
        <v>83.186099999992877</v>
      </c>
      <c r="K20" s="38">
        <f>I20-J20</f>
        <v>-104.5261000000767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13350</v>
      </c>
      <c r="AH20" s="35">
        <v>12350</v>
      </c>
      <c r="AI20" s="36">
        <f>AG20+AW7-AH20</f>
        <v>1000</v>
      </c>
      <c r="AJ20" s="36">
        <f>AF13-AI20</f>
        <v>-21</v>
      </c>
      <c r="AK20" s="37">
        <f>AF13*0.085</f>
        <v>83.215000000000003</v>
      </c>
      <c r="AL20" s="38">
        <f>AJ20-AK20</f>
        <v>-104.215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18400</v>
      </c>
      <c r="G21" s="35">
        <v>16200</v>
      </c>
      <c r="H21" s="36">
        <f>F21+V8-G21</f>
        <v>2200</v>
      </c>
      <c r="I21" s="36">
        <f>E7-H21</f>
        <v>91.07999999995809</v>
      </c>
      <c r="J21" s="37">
        <f>E7*0.085</f>
        <v>194.74179999999646</v>
      </c>
      <c r="K21" s="38">
        <f>I21-J21</f>
        <v>-103.66180000003837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18400</v>
      </c>
      <c r="AH21" s="35">
        <v>16200</v>
      </c>
      <c r="AI21" s="36">
        <f>AG21+AW8-AH21</f>
        <v>2200</v>
      </c>
      <c r="AJ21" s="36">
        <f>AF7-AI21</f>
        <v>92</v>
      </c>
      <c r="AK21" s="37">
        <f>AF7*0.085</f>
        <v>194.82000000000002</v>
      </c>
      <c r="AL21" s="38">
        <f>AJ21-AK21</f>
        <v>-102.82000000000002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11400</v>
      </c>
      <c r="G22" s="35">
        <v>10500</v>
      </c>
      <c r="H22" s="36">
        <f>F22+V9-G22</f>
        <v>900</v>
      </c>
      <c r="I22" s="36">
        <f>E10-H22</f>
        <v>-11.869999999995343</v>
      </c>
      <c r="J22" s="37">
        <f>E10*0.085</f>
        <v>75.491050000000399</v>
      </c>
      <c r="K22" s="38">
        <f>I22-J22</f>
        <v>-87.361049999995743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11400</v>
      </c>
      <c r="AH22" s="35">
        <v>10500</v>
      </c>
      <c r="AI22" s="36">
        <f>AG22+AW9-AH22</f>
        <v>900</v>
      </c>
      <c r="AJ22" s="36">
        <f>AF10-AI22</f>
        <v>-12</v>
      </c>
      <c r="AK22" s="37">
        <f>AF10*0.085</f>
        <v>75.48</v>
      </c>
      <c r="AL22" s="38">
        <f>AJ22-AK22</f>
        <v>-87.48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21850</v>
      </c>
      <c r="G23" s="35">
        <v>21600</v>
      </c>
      <c r="H23" s="36">
        <f>F23+V10-G23</f>
        <v>250</v>
      </c>
      <c r="I23" s="36">
        <f>E16-H23</f>
        <v>18.669999999983702</v>
      </c>
      <c r="J23" s="37">
        <f>E16*0.085</f>
        <v>22.836949999998616</v>
      </c>
      <c r="K23" s="38">
        <f>I23-J23</f>
        <v>-4.1669500000149142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21850</v>
      </c>
      <c r="AH23" s="35">
        <v>21600</v>
      </c>
      <c r="AI23" s="36">
        <f>AG23+AW10-AH23</f>
        <v>250</v>
      </c>
      <c r="AJ23" s="36">
        <f>AF16-AI23</f>
        <v>19</v>
      </c>
      <c r="AK23" s="37">
        <f>AF16*0.085</f>
        <v>22.865000000000002</v>
      </c>
      <c r="AL23" s="38">
        <f>AJ23-AK23</f>
        <v>-3.865000000000002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313700</v>
      </c>
      <c r="C26" s="46">
        <v>368500</v>
      </c>
      <c r="D26" s="17">
        <v>0</v>
      </c>
      <c r="E26" s="17">
        <v>1309350</v>
      </c>
      <c r="F26" s="17">
        <v>0</v>
      </c>
      <c r="G26" s="46">
        <v>248800</v>
      </c>
      <c r="H26" s="46">
        <v>0</v>
      </c>
      <c r="I26" s="46">
        <v>3135280</v>
      </c>
      <c r="J26" s="46">
        <v>2000</v>
      </c>
      <c r="K26" s="46">
        <v>0</v>
      </c>
      <c r="L26" s="46">
        <v>196200</v>
      </c>
      <c r="M26" s="46">
        <v>29500</v>
      </c>
      <c r="N26" s="46">
        <v>407254</v>
      </c>
      <c r="O26" s="46">
        <v>0</v>
      </c>
      <c r="P26" s="46">
        <v>405500</v>
      </c>
      <c r="Q26" s="46">
        <v>6828526.8499999996</v>
      </c>
      <c r="R26" s="47">
        <f>SUM(S17-W23-B26-C26-D26-E26-F26-G26-H26-I26-J26-K26-L26-M26-N26-O26-P26+Q26)</f>
        <v>6627500.4599998025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7" workbookViewId="0">
      <selection activeCell="Q29" sqref="Q29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  <col min="21" max="21" width="17.140625" customWidth="1"/>
    <col min="23" max="23" width="9.5703125" bestFit="1" customWidth="1"/>
  </cols>
  <sheetData>
    <row r="1" spans="2:50" x14ac:dyDescent="0.25">
      <c r="B1" s="1">
        <v>46280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425659.99</v>
      </c>
      <c r="G3" s="7">
        <v>426555.74</v>
      </c>
      <c r="H3" s="7">
        <v>426555.74</v>
      </c>
      <c r="I3" s="7"/>
      <c r="J3" s="7"/>
      <c r="K3" s="12">
        <f>G3-F3</f>
        <v>895.75</v>
      </c>
      <c r="L3" s="7">
        <v>1374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1230760.5</v>
      </c>
      <c r="T3" s="7"/>
      <c r="U3" s="3" t="s">
        <v>9</v>
      </c>
      <c r="V3" s="13">
        <f>E7+E10+E13</f>
        <v>4251.6900000001187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425693</v>
      </c>
      <c r="AH3" s="7">
        <v>426589</v>
      </c>
      <c r="AI3" s="7">
        <v>426589</v>
      </c>
      <c r="AJ3" s="7"/>
      <c r="AK3" s="7"/>
      <c r="AL3" s="12">
        <f>AH3-AG3</f>
        <v>896</v>
      </c>
      <c r="AM3" s="7">
        <v>1374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1231104</v>
      </c>
      <c r="AU3" s="7"/>
      <c r="AV3" s="3" t="s">
        <v>9</v>
      </c>
      <c r="AW3" s="13">
        <f>AF7+AF10+AF13</f>
        <v>4254</v>
      </c>
      <c r="AX3" s="3"/>
    </row>
    <row r="4" spans="2:50" x14ac:dyDescent="0.25">
      <c r="D4" s="3"/>
      <c r="E4" s="3" t="s">
        <v>11</v>
      </c>
      <c r="F4" s="7">
        <v>317273.71000000002</v>
      </c>
      <c r="G4" s="7">
        <v>317728.28000000003</v>
      </c>
      <c r="H4" s="7">
        <v>317728.28000000003</v>
      </c>
      <c r="I4" s="7"/>
      <c r="J4" s="7"/>
      <c r="K4" s="12">
        <f t="shared" ref="K4:K6" si="0">G4-F4</f>
        <v>454.57000000000698</v>
      </c>
      <c r="L4" s="7">
        <v>1374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624579.1800000096</v>
      </c>
      <c r="T4" s="7"/>
      <c r="U4" s="3" t="s">
        <v>12</v>
      </c>
      <c r="V4" s="13">
        <f>E16</f>
        <v>1101.5800000000163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317311</v>
      </c>
      <c r="AH4" s="7">
        <v>317766</v>
      </c>
      <c r="AI4" s="7">
        <v>317766</v>
      </c>
      <c r="AJ4" s="7"/>
      <c r="AK4" s="7"/>
      <c r="AL4" s="12">
        <f t="shared" ref="AL4:AL6" si="4">AH4-AG4</f>
        <v>455</v>
      </c>
      <c r="AM4" s="7">
        <v>1374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625170</v>
      </c>
      <c r="AU4" s="7"/>
      <c r="AV4" s="3" t="s">
        <v>12</v>
      </c>
      <c r="AW4" s="13">
        <f>AF16</f>
        <v>1101</v>
      </c>
      <c r="AX4" s="3"/>
    </row>
    <row r="5" spans="2:50" x14ac:dyDescent="0.25">
      <c r="D5" s="4"/>
      <c r="E5" s="3" t="s">
        <v>14</v>
      </c>
      <c r="F5" s="7">
        <v>325307.96999999997</v>
      </c>
      <c r="G5" s="7">
        <v>325481.17</v>
      </c>
      <c r="H5" s="7">
        <v>325481.17</v>
      </c>
      <c r="I5" s="7"/>
      <c r="J5" s="7"/>
      <c r="K5" s="12">
        <f t="shared" si="0"/>
        <v>173.20000000001164</v>
      </c>
      <c r="L5" s="7">
        <v>1374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237976.800000016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325347</v>
      </c>
      <c r="AH5" s="7">
        <v>325520</v>
      </c>
      <c r="AI5" s="7">
        <v>325520</v>
      </c>
      <c r="AJ5" s="7"/>
      <c r="AK5" s="7"/>
      <c r="AL5" s="12">
        <f t="shared" si="4"/>
        <v>173</v>
      </c>
      <c r="AM5" s="7">
        <v>1374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237702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512890.22</v>
      </c>
      <c r="G6" s="7">
        <v>513700.68</v>
      </c>
      <c r="H6" s="7">
        <v>513700.68</v>
      </c>
      <c r="I6" s="7"/>
      <c r="J6" s="7"/>
      <c r="K6" s="12">
        <f t="shared" si="0"/>
        <v>810.46000000002095</v>
      </c>
      <c r="L6" s="7">
        <v>1374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1113572.0400000289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512929</v>
      </c>
      <c r="AH6" s="7">
        <v>513740</v>
      </c>
      <c r="AI6" s="7">
        <v>513740</v>
      </c>
      <c r="AJ6" s="7"/>
      <c r="AK6" s="7"/>
      <c r="AL6" s="12">
        <f t="shared" si="4"/>
        <v>811</v>
      </c>
      <c r="AM6" s="7">
        <v>1374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1114314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2333.9800000000396</v>
      </c>
      <c r="F7" s="3"/>
      <c r="G7" s="3"/>
      <c r="H7" s="3"/>
      <c r="I7" s="3"/>
      <c r="J7" s="3"/>
      <c r="K7" s="22">
        <f>SUM(K3:K6)</f>
        <v>2333.9800000000396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2335</v>
      </c>
      <c r="AG7" s="3"/>
      <c r="AH7" s="3"/>
      <c r="AI7" s="3"/>
      <c r="AJ7" s="3"/>
      <c r="AK7" s="3"/>
      <c r="AL7" s="22">
        <f>SUM(AL3:AL6)</f>
        <v>2335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372924.65</v>
      </c>
      <c r="G8" s="7">
        <v>373774.12</v>
      </c>
      <c r="H8" s="7">
        <v>373774.12</v>
      </c>
      <c r="I8" s="7"/>
      <c r="J8" s="7"/>
      <c r="K8" s="12">
        <f t="shared" ref="K8:K9" si="9">G8-F8</f>
        <v>849.46999999997206</v>
      </c>
      <c r="L8" s="7">
        <v>1374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1167171.7799999616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487302</v>
      </c>
      <c r="AH8" s="7">
        <v>488152</v>
      </c>
      <c r="AI8" s="7">
        <v>488152</v>
      </c>
      <c r="AJ8" s="7"/>
      <c r="AK8" s="7"/>
      <c r="AL8" s="12">
        <f t="shared" ref="AL8:AL9" si="12">AH8-AG8</f>
        <v>850</v>
      </c>
      <c r="AM8" s="7">
        <v>1374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1167900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1374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1374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849.46999999997206</v>
      </c>
      <c r="F10" s="3"/>
      <c r="G10" s="3"/>
      <c r="H10" s="3"/>
      <c r="I10" s="3"/>
      <c r="J10" s="3"/>
      <c r="K10" s="22">
        <f>SUM(K8:K9)</f>
        <v>849.46999999997206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850</v>
      </c>
      <c r="AG10" s="3"/>
      <c r="AH10" s="3"/>
      <c r="AI10" s="3"/>
      <c r="AJ10" s="3"/>
      <c r="AK10" s="3"/>
      <c r="AL10" s="22">
        <f>SUM(AL8:AL9)</f>
        <v>850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480595.04</v>
      </c>
      <c r="G11" s="7">
        <v>481138.96</v>
      </c>
      <c r="H11" s="7">
        <v>481138.96</v>
      </c>
      <c r="I11" s="7"/>
      <c r="J11" s="7"/>
      <c r="K11" s="12">
        <f t="shared" ref="K11:K14" si="17">G11-F11</f>
        <v>543.92000000004191</v>
      </c>
      <c r="L11" s="7">
        <v>1374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747346.08000005758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480632</v>
      </c>
      <c r="AH11" s="7">
        <v>481176</v>
      </c>
      <c r="AI11" s="7">
        <v>481176</v>
      </c>
      <c r="AJ11" s="7"/>
      <c r="AK11" s="7"/>
      <c r="AL11" s="12">
        <f t="shared" ref="AL11:AL12" si="20">AH11-AG11</f>
        <v>544</v>
      </c>
      <c r="AM11" s="7">
        <v>1374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747456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544696.32999999996</v>
      </c>
      <c r="G12" s="7">
        <v>545220.65</v>
      </c>
      <c r="H12" s="7">
        <v>545220.65</v>
      </c>
      <c r="I12" s="7"/>
      <c r="J12" s="7"/>
      <c r="K12" s="12">
        <f t="shared" si="17"/>
        <v>524.32000000006519</v>
      </c>
      <c r="L12" s="7">
        <v>1374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720415.68000008957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544736</v>
      </c>
      <c r="AH12" s="7">
        <v>545261</v>
      </c>
      <c r="AI12" s="7">
        <v>545261</v>
      </c>
      <c r="AJ12" s="7"/>
      <c r="AK12" s="7"/>
      <c r="AL12" s="12">
        <f t="shared" si="20"/>
        <v>525</v>
      </c>
      <c r="AM12" s="7">
        <v>1374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721350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1068.2400000001071</v>
      </c>
      <c r="F13" s="3"/>
      <c r="G13" s="3"/>
      <c r="H13" s="3"/>
      <c r="I13" s="3"/>
      <c r="J13" s="3"/>
      <c r="K13" s="22">
        <f>SUM(K11:K12)</f>
        <v>1068.2400000001071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1069</v>
      </c>
      <c r="AG13" s="3"/>
      <c r="AH13" s="3"/>
      <c r="AI13" s="3"/>
      <c r="AJ13" s="3"/>
      <c r="AK13" s="3"/>
      <c r="AL13" s="22">
        <f>SUM(AL11:AL12)</f>
        <v>1069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466275.16</v>
      </c>
      <c r="G14" s="7">
        <v>467376.74</v>
      </c>
      <c r="H14" s="7">
        <v>467376.74</v>
      </c>
      <c r="I14" s="7"/>
      <c r="J14" s="7"/>
      <c r="K14" s="12">
        <f t="shared" si="17"/>
        <v>1101.5800000000163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2058853.0200000305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466305</v>
      </c>
      <c r="AH14" s="7">
        <v>467406</v>
      </c>
      <c r="AI14" s="7">
        <v>467406</v>
      </c>
      <c r="AJ14" s="7"/>
      <c r="AK14" s="7"/>
      <c r="AL14" s="12">
        <f t="shared" ref="AL14" si="24">AH14-AG14</f>
        <v>1101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2057769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1101.5800000000163</v>
      </c>
      <c r="F16" s="3"/>
      <c r="G16" s="3"/>
      <c r="H16" s="3"/>
      <c r="I16" s="7"/>
      <c r="K16" s="22">
        <f>SUM(K14:K15)</f>
        <v>1101.5800000000163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1101</v>
      </c>
      <c r="AG16" s="32"/>
      <c r="AH16" s="32"/>
      <c r="AI16" s="32"/>
      <c r="AJ16" s="7"/>
      <c r="AL16" s="22">
        <f>SUM(AL14:AL15)</f>
        <v>1101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7900675.0800001929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7902765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12350</v>
      </c>
      <c r="G20" s="35">
        <v>11400</v>
      </c>
      <c r="H20" s="36">
        <f>F20+V7-G20</f>
        <v>950</v>
      </c>
      <c r="I20" s="36">
        <f>E13-H20</f>
        <v>118.2400000001071</v>
      </c>
      <c r="J20" s="37">
        <f>E13*0.085</f>
        <v>90.800400000009105</v>
      </c>
      <c r="K20" s="38">
        <f>I20-J20</f>
        <v>27.439600000097997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12350</v>
      </c>
      <c r="AH20" s="35">
        <v>11400</v>
      </c>
      <c r="AI20" s="36">
        <f>AG20+AW7-AH20</f>
        <v>950</v>
      </c>
      <c r="AJ20" s="36">
        <f>AF13-AI20</f>
        <v>119</v>
      </c>
      <c r="AK20" s="37">
        <f>AF13*0.085</f>
        <v>90.865000000000009</v>
      </c>
      <c r="AL20" s="38">
        <f>AJ20-AK20</f>
        <v>28.134999999999991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16200</v>
      </c>
      <c r="G21" s="35">
        <v>14050</v>
      </c>
      <c r="H21" s="36">
        <f>F21+V8-G21</f>
        <v>2150</v>
      </c>
      <c r="I21" s="36">
        <f>E7-H21</f>
        <v>183.98000000003958</v>
      </c>
      <c r="J21" s="37">
        <f>E7*0.085</f>
        <v>198.38830000000337</v>
      </c>
      <c r="K21" s="38">
        <f>I21-J21</f>
        <v>-14.408299999963788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16200</v>
      </c>
      <c r="AH21" s="35">
        <v>14050</v>
      </c>
      <c r="AI21" s="36">
        <f>AG21+AW8-AH21</f>
        <v>2150</v>
      </c>
      <c r="AJ21" s="36">
        <f>AF7-AI21</f>
        <v>185</v>
      </c>
      <c r="AK21" s="37">
        <f>AF7*0.085</f>
        <v>198.47500000000002</v>
      </c>
      <c r="AL21" s="38">
        <f>AJ21-AK21</f>
        <v>-13.475000000000023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10500</v>
      </c>
      <c r="G22" s="35">
        <v>9750</v>
      </c>
      <c r="H22" s="36">
        <f>F22+V9-G22</f>
        <v>750</v>
      </c>
      <c r="I22" s="36">
        <f>E10-H22</f>
        <v>99.46999999997206</v>
      </c>
      <c r="J22" s="37">
        <f>E10*0.085</f>
        <v>72.204949999997623</v>
      </c>
      <c r="K22" s="38">
        <f>I22-J22</f>
        <v>27.265049999974437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10500</v>
      </c>
      <c r="AH22" s="35">
        <v>9750</v>
      </c>
      <c r="AI22" s="36">
        <f>AG22+AW9-AH22</f>
        <v>750</v>
      </c>
      <c r="AJ22" s="36">
        <f>AF10-AI22</f>
        <v>100</v>
      </c>
      <c r="AK22" s="37">
        <f>AF10*0.085</f>
        <v>72.25</v>
      </c>
      <c r="AL22" s="38">
        <f>AJ22-AK22</f>
        <v>27.75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21600</v>
      </c>
      <c r="G23" s="35">
        <v>20600</v>
      </c>
      <c r="H23" s="36">
        <f>F23+V10-G23</f>
        <v>1000</v>
      </c>
      <c r="I23" s="36">
        <f>E16-H23</f>
        <v>101.5800000000163</v>
      </c>
      <c r="J23" s="37">
        <f>E16*0.085</f>
        <v>93.634300000001389</v>
      </c>
      <c r="K23" s="38">
        <f>I23-J23</f>
        <v>7.9457000000149094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21600</v>
      </c>
      <c r="AH23" s="35">
        <v>20600</v>
      </c>
      <c r="AI23" s="36">
        <f>AG23+AW10-AH23</f>
        <v>1000</v>
      </c>
      <c r="AJ23" s="36">
        <f>AF16-AI23</f>
        <v>101</v>
      </c>
      <c r="AK23" s="37">
        <f>AF16*0.085</f>
        <v>93.585000000000008</v>
      </c>
      <c r="AL23" s="38">
        <f>AJ23-AK23</f>
        <v>7.414999999999992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3000</v>
      </c>
      <c r="D26" s="17">
        <v>278910.8</v>
      </c>
      <c r="E26" s="17">
        <v>2149350</v>
      </c>
      <c r="F26" s="17">
        <v>0</v>
      </c>
      <c r="G26" s="46">
        <v>0</v>
      </c>
      <c r="H26" s="46">
        <v>281800</v>
      </c>
      <c r="I26" s="46">
        <v>1500</v>
      </c>
      <c r="J26" s="46">
        <v>5158350.4800000004</v>
      </c>
      <c r="K26" s="46">
        <v>249500</v>
      </c>
      <c r="L26" s="46">
        <v>192680</v>
      </c>
      <c r="M26" s="46">
        <v>496800</v>
      </c>
      <c r="N26" s="46">
        <v>0</v>
      </c>
      <c r="O26" s="46">
        <v>0</v>
      </c>
      <c r="P26" s="46">
        <v>0</v>
      </c>
      <c r="Q26" s="46">
        <v>6627500.46</v>
      </c>
      <c r="R26" s="47">
        <f>SUM(S17-W23-B26-C26-D26-E26-F26-G26-H26-I26-J26-K26-L26-M26-N26-O26-P26+Q26)</f>
        <v>5716284.2600001926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6" workbookViewId="0">
      <selection activeCell="K28" sqref="K28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  <col min="21" max="21" width="17.140625" customWidth="1"/>
    <col min="23" max="23" width="9.5703125" bestFit="1" customWidth="1"/>
  </cols>
  <sheetData>
    <row r="1" spans="2:50" x14ac:dyDescent="0.25">
      <c r="B1" s="1">
        <v>46281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426555.74</v>
      </c>
      <c r="G3" s="7">
        <v>427704.35</v>
      </c>
      <c r="H3" s="7">
        <v>427704.35</v>
      </c>
      <c r="I3" s="7"/>
      <c r="J3" s="7"/>
      <c r="K3" s="12">
        <f>G3-F3</f>
        <v>1148.609999999986</v>
      </c>
      <c r="L3" s="7">
        <v>1374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1578190.1399999808</v>
      </c>
      <c r="T3" s="7"/>
      <c r="U3" s="3" t="s">
        <v>9</v>
      </c>
      <c r="V3" s="13">
        <f>E7+E10+E13</f>
        <v>4779.1299999999464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426589</v>
      </c>
      <c r="AH3" s="7">
        <v>427737</v>
      </c>
      <c r="AI3" s="7">
        <v>427737</v>
      </c>
      <c r="AJ3" s="7"/>
      <c r="AK3" s="7"/>
      <c r="AL3" s="12">
        <f>AH3-AG3</f>
        <v>1148</v>
      </c>
      <c r="AM3" s="7">
        <v>1374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1577352</v>
      </c>
      <c r="AU3" s="7"/>
      <c r="AV3" s="3" t="s">
        <v>9</v>
      </c>
      <c r="AW3" s="13">
        <f>AF7+AF10+AF13</f>
        <v>4777</v>
      </c>
      <c r="AX3" s="3"/>
    </row>
    <row r="4" spans="2:50" x14ac:dyDescent="0.25">
      <c r="D4" s="3"/>
      <c r="E4" s="3" t="s">
        <v>11</v>
      </c>
      <c r="F4" s="7">
        <v>317728.28000000003</v>
      </c>
      <c r="G4" s="7">
        <v>318020.90000000002</v>
      </c>
      <c r="H4" s="7">
        <v>318020.90000000002</v>
      </c>
      <c r="I4" s="7"/>
      <c r="J4" s="7"/>
      <c r="K4" s="12">
        <f t="shared" ref="K4:K6" si="0">G4-F4</f>
        <v>292.61999999999534</v>
      </c>
      <c r="L4" s="7">
        <v>1374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402059.8799999936</v>
      </c>
      <c r="T4" s="7"/>
      <c r="U4" s="3" t="s">
        <v>12</v>
      </c>
      <c r="V4" s="13">
        <f>E16</f>
        <v>747.3300000000163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317766</v>
      </c>
      <c r="AH4" s="7">
        <v>318058</v>
      </c>
      <c r="AI4" s="7">
        <v>318058</v>
      </c>
      <c r="AJ4" s="7"/>
      <c r="AK4" s="7"/>
      <c r="AL4" s="12">
        <f t="shared" ref="AL4:AL6" si="4">AH4-AG4</f>
        <v>292</v>
      </c>
      <c r="AM4" s="7">
        <v>1374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401208</v>
      </c>
      <c r="AU4" s="7"/>
      <c r="AV4" s="3" t="s">
        <v>12</v>
      </c>
      <c r="AW4" s="13">
        <f>AF16</f>
        <v>748</v>
      </c>
      <c r="AX4" s="3"/>
    </row>
    <row r="5" spans="2:50" x14ac:dyDescent="0.25">
      <c r="D5" s="4"/>
      <c r="E5" s="3" t="s">
        <v>14</v>
      </c>
      <c r="F5" s="7">
        <v>325481.17</v>
      </c>
      <c r="G5" s="7">
        <v>325704.96000000002</v>
      </c>
      <c r="H5" s="7">
        <v>325704.96000000002</v>
      </c>
      <c r="I5" s="7"/>
      <c r="J5" s="7"/>
      <c r="K5" s="12">
        <f t="shared" si="0"/>
        <v>223.79000000003725</v>
      </c>
      <c r="L5" s="7">
        <v>1374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307487.46000005119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325520</v>
      </c>
      <c r="AH5" s="7">
        <v>325744</v>
      </c>
      <c r="AI5" s="7">
        <v>325744</v>
      </c>
      <c r="AJ5" s="7"/>
      <c r="AK5" s="7"/>
      <c r="AL5" s="12">
        <f t="shared" si="4"/>
        <v>224</v>
      </c>
      <c r="AM5" s="7">
        <v>1374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307776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513700.68</v>
      </c>
      <c r="G6" s="7">
        <v>514683.94</v>
      </c>
      <c r="H6" s="7">
        <v>514683.94</v>
      </c>
      <c r="I6" s="7"/>
      <c r="J6" s="7"/>
      <c r="K6" s="12">
        <f t="shared" si="0"/>
        <v>983.26000000000931</v>
      </c>
      <c r="L6" s="7">
        <v>1374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1350999.2400000128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513740</v>
      </c>
      <c r="AH6" s="7">
        <v>514723</v>
      </c>
      <c r="AI6" s="7">
        <v>514723</v>
      </c>
      <c r="AJ6" s="7"/>
      <c r="AK6" s="7"/>
      <c r="AL6" s="12">
        <f t="shared" si="4"/>
        <v>983</v>
      </c>
      <c r="AM6" s="7">
        <v>1374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1350642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2648.2800000000279</v>
      </c>
      <c r="F7" s="3"/>
      <c r="G7" s="3"/>
      <c r="H7" s="3"/>
      <c r="I7" s="3"/>
      <c r="J7" s="3"/>
      <c r="K7" s="22">
        <f>SUM(K3:K6)</f>
        <v>2648.2800000000279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2647</v>
      </c>
      <c r="AG7" s="3"/>
      <c r="AH7" s="3"/>
      <c r="AI7" s="3"/>
      <c r="AJ7" s="3"/>
      <c r="AK7" s="3"/>
      <c r="AL7" s="22">
        <f>SUM(AL3:AL6)</f>
        <v>2647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373774.12</v>
      </c>
      <c r="G8" s="7">
        <v>374932.54</v>
      </c>
      <c r="H8" s="7">
        <v>374932.54</v>
      </c>
      <c r="I8" s="7"/>
      <c r="J8" s="7"/>
      <c r="K8" s="12">
        <f t="shared" ref="K8:K9" si="9">G8-F8</f>
        <v>1158.4199999999837</v>
      </c>
      <c r="L8" s="7">
        <v>1374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1591669.0799999777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488152</v>
      </c>
      <c r="AH8" s="7">
        <v>489310</v>
      </c>
      <c r="AI8" s="7">
        <v>489310</v>
      </c>
      <c r="AJ8" s="7"/>
      <c r="AK8" s="7"/>
      <c r="AL8" s="12">
        <f t="shared" ref="AL8:AL9" si="12">AH8-AG8</f>
        <v>1158</v>
      </c>
      <c r="AM8" s="7">
        <v>1374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1591092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1374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1374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1158.4199999999837</v>
      </c>
      <c r="F10" s="3"/>
      <c r="G10" s="3"/>
      <c r="H10" s="3"/>
      <c r="I10" s="3"/>
      <c r="J10" s="3"/>
      <c r="K10" s="22">
        <f>SUM(K8:K9)</f>
        <v>1158.4199999999837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1158</v>
      </c>
      <c r="AG10" s="3"/>
      <c r="AH10" s="3"/>
      <c r="AI10" s="3"/>
      <c r="AJ10" s="3"/>
      <c r="AK10" s="3"/>
      <c r="AL10" s="22">
        <f>SUM(AL8:AL9)</f>
        <v>1158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481138.96</v>
      </c>
      <c r="G11" s="7">
        <v>481588.68</v>
      </c>
      <c r="H11" s="7">
        <v>481588.68</v>
      </c>
      <c r="I11" s="7"/>
      <c r="J11" s="7"/>
      <c r="K11" s="12">
        <f t="shared" ref="K11:K14" si="17">G11-F11</f>
        <v>449.71999999997206</v>
      </c>
      <c r="L11" s="7">
        <v>1374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617915.27999996161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481176</v>
      </c>
      <c r="AH11" s="7">
        <v>481626</v>
      </c>
      <c r="AI11" s="7">
        <v>481626</v>
      </c>
      <c r="AJ11" s="7"/>
      <c r="AK11" s="7"/>
      <c r="AL11" s="12">
        <f t="shared" ref="AL11:AL12" si="20">AH11-AG11</f>
        <v>450</v>
      </c>
      <c r="AM11" s="7">
        <v>1374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618300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545220.65</v>
      </c>
      <c r="G12" s="7">
        <v>545743.35999999999</v>
      </c>
      <c r="H12" s="7">
        <v>545743.35999999999</v>
      </c>
      <c r="I12" s="7"/>
      <c r="J12" s="7"/>
      <c r="K12" s="12">
        <f t="shared" si="17"/>
        <v>522.70999999996275</v>
      </c>
      <c r="L12" s="7">
        <v>1374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718203.53999994881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545261</v>
      </c>
      <c r="AH12" s="7">
        <v>545783</v>
      </c>
      <c r="AI12" s="7">
        <v>545783</v>
      </c>
      <c r="AJ12" s="7"/>
      <c r="AK12" s="7"/>
      <c r="AL12" s="12">
        <f t="shared" si="20"/>
        <v>522</v>
      </c>
      <c r="AM12" s="7">
        <v>1374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717228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972.42999999993481</v>
      </c>
      <c r="F13" s="3"/>
      <c r="G13" s="3"/>
      <c r="H13" s="3"/>
      <c r="I13" s="3"/>
      <c r="J13" s="3"/>
      <c r="K13" s="22">
        <f>SUM(K11:K12)</f>
        <v>972.42999999993481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972</v>
      </c>
      <c r="AG13" s="3"/>
      <c r="AH13" s="3"/>
      <c r="AI13" s="3"/>
      <c r="AJ13" s="3"/>
      <c r="AK13" s="3"/>
      <c r="AL13" s="22">
        <f>SUM(AL11:AL12)</f>
        <v>972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467376.74</v>
      </c>
      <c r="G14" s="7">
        <v>468124.07</v>
      </c>
      <c r="H14" s="7">
        <v>468124.07</v>
      </c>
      <c r="I14" s="7"/>
      <c r="J14" s="7"/>
      <c r="K14" s="12">
        <f t="shared" si="17"/>
        <v>747.3300000000163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1396759.7700000305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467406</v>
      </c>
      <c r="AH14" s="7">
        <v>468154</v>
      </c>
      <c r="AI14" s="7">
        <v>468154</v>
      </c>
      <c r="AJ14" s="7"/>
      <c r="AK14" s="7"/>
      <c r="AL14" s="12">
        <f t="shared" ref="AL14" si="24">AH14-AG14</f>
        <v>748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1398012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747.3300000000163</v>
      </c>
      <c r="F16" s="3"/>
      <c r="G16" s="3"/>
      <c r="H16" s="3"/>
      <c r="I16" s="7"/>
      <c r="K16" s="22">
        <f>SUM(K14:K15)</f>
        <v>747.3300000000163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748</v>
      </c>
      <c r="AG16" s="32"/>
      <c r="AH16" s="32"/>
      <c r="AI16" s="32"/>
      <c r="AJ16" s="7"/>
      <c r="AL16" s="22">
        <f>SUM(AL14:AL15)</f>
        <v>748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7963284.3899999568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7961610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11400</v>
      </c>
      <c r="G20" s="35">
        <v>10400</v>
      </c>
      <c r="H20" s="36">
        <f>F20+V7-G20</f>
        <v>1000</v>
      </c>
      <c r="I20" s="36">
        <f>E13-H20</f>
        <v>-27.570000000065193</v>
      </c>
      <c r="J20" s="37">
        <f>E13*0.085</f>
        <v>82.656549999994468</v>
      </c>
      <c r="K20" s="38">
        <f>I20-J20</f>
        <v>-110.22655000005966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11400</v>
      </c>
      <c r="AH20" s="35">
        <v>10400</v>
      </c>
      <c r="AI20" s="36">
        <f>AG20+AW7-AH20</f>
        <v>1000</v>
      </c>
      <c r="AJ20" s="36">
        <f>AF13-AI20</f>
        <v>-28</v>
      </c>
      <c r="AK20" s="37">
        <f>AF13*0.085</f>
        <v>82.62</v>
      </c>
      <c r="AL20" s="38">
        <f>AJ20-AK20</f>
        <v>-110.62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14050</v>
      </c>
      <c r="G21" s="35">
        <v>11550</v>
      </c>
      <c r="H21" s="36">
        <f>F21+V8-G21</f>
        <v>2500</v>
      </c>
      <c r="I21" s="36">
        <f>E7-H21</f>
        <v>148.28000000002794</v>
      </c>
      <c r="J21" s="37">
        <f>E7*0.085</f>
        <v>225.10380000000239</v>
      </c>
      <c r="K21" s="38">
        <f>I21-J21</f>
        <v>-76.823799999974455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14050</v>
      </c>
      <c r="AH21" s="35">
        <v>11550</v>
      </c>
      <c r="AI21" s="36">
        <f>AG21+AW8-AH21</f>
        <v>2500</v>
      </c>
      <c r="AJ21" s="36">
        <f>AF7-AI21</f>
        <v>147</v>
      </c>
      <c r="AK21" s="37">
        <f>AF7*0.085</f>
        <v>224.995</v>
      </c>
      <c r="AL21" s="38">
        <f>AJ21-AK21</f>
        <v>-77.995000000000005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9750</v>
      </c>
      <c r="G22" s="35">
        <v>8700</v>
      </c>
      <c r="H22" s="36">
        <f>F22+V9-G22</f>
        <v>1050</v>
      </c>
      <c r="I22" s="36">
        <f>E10-H22</f>
        <v>108.4199999999837</v>
      </c>
      <c r="J22" s="37">
        <f>E10*0.085</f>
        <v>98.46569999999862</v>
      </c>
      <c r="K22" s="38">
        <f>I22-J22</f>
        <v>9.9542999999850821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9750</v>
      </c>
      <c r="AH22" s="35">
        <v>8700</v>
      </c>
      <c r="AI22" s="36">
        <f>AG22+AW9-AH22</f>
        <v>1050</v>
      </c>
      <c r="AJ22" s="36">
        <f>AF10-AI22</f>
        <v>108</v>
      </c>
      <c r="AK22" s="37">
        <f>AF10*0.085</f>
        <v>98.43</v>
      </c>
      <c r="AL22" s="38">
        <f>AJ22-AK22</f>
        <v>9.5699999999999932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20600</v>
      </c>
      <c r="G23" s="35">
        <v>19850</v>
      </c>
      <c r="H23" s="36">
        <f>F23+V10-G23</f>
        <v>750</v>
      </c>
      <c r="I23" s="36">
        <f>E16-H23</f>
        <v>-2.6699999999837019</v>
      </c>
      <c r="J23" s="37">
        <f>E16*0.085</f>
        <v>63.52305000000139</v>
      </c>
      <c r="K23" s="38">
        <f>I23-J23</f>
        <v>-66.193049999985092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20600</v>
      </c>
      <c r="AH23" s="35">
        <v>19850</v>
      </c>
      <c r="AI23" s="36">
        <f>AG23+AW10-AH23</f>
        <v>750</v>
      </c>
      <c r="AJ23" s="36">
        <f>AF16-AI23</f>
        <v>-2</v>
      </c>
      <c r="AK23" s="37">
        <f>AF16*0.085</f>
        <v>63.580000000000005</v>
      </c>
      <c r="AL23" s="38">
        <f>AJ23-AK23</f>
        <v>-65.580000000000013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0</v>
      </c>
      <c r="E26" s="17">
        <v>1127620</v>
      </c>
      <c r="F26" s="17">
        <v>0</v>
      </c>
      <c r="G26" s="46">
        <v>206300</v>
      </c>
      <c r="H26" s="46">
        <v>0</v>
      </c>
      <c r="I26" s="46">
        <v>4725183</v>
      </c>
      <c r="J26" s="46">
        <v>0</v>
      </c>
      <c r="K26" s="46">
        <v>0</v>
      </c>
      <c r="L26" s="46">
        <v>403500</v>
      </c>
      <c r="M26" s="46">
        <v>666455</v>
      </c>
      <c r="N26" s="46">
        <v>632236</v>
      </c>
      <c r="O26" s="46">
        <v>0</v>
      </c>
      <c r="P26" s="46">
        <v>433780</v>
      </c>
      <c r="Q26" s="46">
        <v>5716284.2599999998</v>
      </c>
      <c r="R26" s="47">
        <f>SUM(S17-W23-B26-C26-D26-E26-F26-G26-H26-I26-J26-K26-L26-M26-N26-O26-P26+Q26)</f>
        <v>5484494.6499999566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I7" workbookViewId="0">
      <selection activeCell="R26" sqref="R26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2.28515625" bestFit="1" customWidth="1"/>
    <col min="19" max="19" width="11.140625" bestFit="1" customWidth="1"/>
    <col min="21" max="21" width="17.140625" customWidth="1"/>
    <col min="23" max="23" width="9.5703125" bestFit="1" customWidth="1"/>
  </cols>
  <sheetData>
    <row r="1" spans="2:50" x14ac:dyDescent="0.25">
      <c r="B1" s="1">
        <v>46282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427704.35</v>
      </c>
      <c r="G3" s="7">
        <v>428417.76</v>
      </c>
      <c r="H3" s="7">
        <v>428417.76</v>
      </c>
      <c r="I3" s="7"/>
      <c r="J3" s="7"/>
      <c r="K3" s="12">
        <f>G3-F3</f>
        <v>713.4100000000326</v>
      </c>
      <c r="L3" s="7">
        <v>1374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980225.34000004479</v>
      </c>
      <c r="T3" s="7"/>
      <c r="U3" s="3" t="s">
        <v>9</v>
      </c>
      <c r="V3" s="13">
        <f>E7+E10+E13</f>
        <v>3821.3099999999977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427737</v>
      </c>
      <c r="AH3" s="7">
        <v>428451</v>
      </c>
      <c r="AI3" s="7">
        <v>428451</v>
      </c>
      <c r="AJ3" s="7"/>
      <c r="AK3" s="7"/>
      <c r="AL3" s="12">
        <f>AH3-AG3</f>
        <v>714</v>
      </c>
      <c r="AM3" s="7">
        <v>1374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981036</v>
      </c>
      <c r="AU3" s="7"/>
      <c r="AV3" s="3" t="s">
        <v>9</v>
      </c>
      <c r="AW3" s="13">
        <f>AF7+AF10+AF13</f>
        <v>3822</v>
      </c>
      <c r="AX3" s="3"/>
    </row>
    <row r="4" spans="2:50" x14ac:dyDescent="0.25">
      <c r="D4" s="3"/>
      <c r="E4" s="3" t="s">
        <v>11</v>
      </c>
      <c r="F4" s="7">
        <v>318020.90000000002</v>
      </c>
      <c r="G4" s="7">
        <v>318436.53000000003</v>
      </c>
      <c r="H4" s="7">
        <v>318436.53000000003</v>
      </c>
      <c r="I4" s="7"/>
      <c r="J4" s="7"/>
      <c r="K4" s="12">
        <f t="shared" ref="K4:K6" si="0">G4-F4</f>
        <v>415.63000000000466</v>
      </c>
      <c r="L4" s="7">
        <v>1374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571075.6200000064</v>
      </c>
      <c r="T4" s="7"/>
      <c r="U4" s="3" t="s">
        <v>12</v>
      </c>
      <c r="V4" s="13">
        <f>E16</f>
        <v>1095.710000000021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318058</v>
      </c>
      <c r="AH4" s="7">
        <v>318474</v>
      </c>
      <c r="AI4" s="7">
        <v>318474</v>
      </c>
      <c r="AJ4" s="7"/>
      <c r="AK4" s="7"/>
      <c r="AL4" s="12">
        <f t="shared" ref="AL4:AL6" si="4">AH4-AG4</f>
        <v>416</v>
      </c>
      <c r="AM4" s="7">
        <v>1374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571584</v>
      </c>
      <c r="AU4" s="7"/>
      <c r="AV4" s="3" t="s">
        <v>12</v>
      </c>
      <c r="AW4" s="13">
        <f>AF16</f>
        <v>1095</v>
      </c>
      <c r="AX4" s="3"/>
    </row>
    <row r="5" spans="2:50" x14ac:dyDescent="0.25">
      <c r="D5" s="4"/>
      <c r="E5" s="3" t="s">
        <v>14</v>
      </c>
      <c r="F5" s="7">
        <v>325704.96000000002</v>
      </c>
      <c r="G5" s="7">
        <v>326093.03000000003</v>
      </c>
      <c r="H5" s="7">
        <v>326093.03000000003</v>
      </c>
      <c r="I5" s="7"/>
      <c r="J5" s="7"/>
      <c r="K5" s="12">
        <f t="shared" si="0"/>
        <v>388.07000000000698</v>
      </c>
      <c r="L5" s="7">
        <v>1374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533208.1800000096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325744</v>
      </c>
      <c r="AH5" s="7">
        <v>326132</v>
      </c>
      <c r="AI5" s="7">
        <v>326132</v>
      </c>
      <c r="AJ5" s="7"/>
      <c r="AK5" s="7"/>
      <c r="AL5" s="12">
        <f t="shared" si="4"/>
        <v>388</v>
      </c>
      <c r="AM5" s="7">
        <v>1374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533112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514683.94</v>
      </c>
      <c r="G6" s="7">
        <v>515374.17</v>
      </c>
      <c r="H6" s="7">
        <v>515374.17</v>
      </c>
      <c r="I6" s="7"/>
      <c r="J6" s="7"/>
      <c r="K6" s="12">
        <f t="shared" si="0"/>
        <v>690.22999999998137</v>
      </c>
      <c r="L6" s="7">
        <v>1374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948376.01999997441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514723</v>
      </c>
      <c r="AH6" s="7">
        <v>515413</v>
      </c>
      <c r="AI6" s="7">
        <v>515413</v>
      </c>
      <c r="AJ6" s="7"/>
      <c r="AK6" s="7"/>
      <c r="AL6" s="12">
        <f t="shared" si="4"/>
        <v>690</v>
      </c>
      <c r="AM6" s="7">
        <v>1374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948060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2207.3400000000256</v>
      </c>
      <c r="F7" s="3"/>
      <c r="G7" s="3"/>
      <c r="H7" s="3"/>
      <c r="I7" s="3"/>
      <c r="J7" s="3"/>
      <c r="K7" s="22">
        <f>SUM(K3:K6)</f>
        <v>2207.3400000000256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>
        <v>12500</v>
      </c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2208</v>
      </c>
      <c r="AG7" s="3"/>
      <c r="AH7" s="3"/>
      <c r="AI7" s="3"/>
      <c r="AJ7" s="3"/>
      <c r="AK7" s="3"/>
      <c r="AL7" s="22">
        <f>SUM(AL3:AL6)</f>
        <v>2208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>
        <v>12500</v>
      </c>
      <c r="AX7" s="3"/>
    </row>
    <row r="8" spans="2:50" x14ac:dyDescent="0.25">
      <c r="D8" s="21"/>
      <c r="E8" s="3" t="s">
        <v>21</v>
      </c>
      <c r="F8" s="7">
        <v>374932.54</v>
      </c>
      <c r="G8" s="7">
        <v>375770.36</v>
      </c>
      <c r="H8" s="7">
        <v>375770.36</v>
      </c>
      <c r="I8" s="7"/>
      <c r="J8" s="7"/>
      <c r="K8" s="12">
        <f t="shared" ref="K8:K9" si="9">G8-F8</f>
        <v>837.82000000000698</v>
      </c>
      <c r="L8" s="7">
        <v>1374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1151164.6800000095</v>
      </c>
      <c r="T8" s="7"/>
      <c r="U8" s="8" t="s">
        <v>11</v>
      </c>
      <c r="V8" s="23">
        <v>14400</v>
      </c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489310</v>
      </c>
      <c r="AH8" s="7">
        <v>490148</v>
      </c>
      <c r="AI8" s="7">
        <v>490148</v>
      </c>
      <c r="AJ8" s="7"/>
      <c r="AK8" s="7"/>
      <c r="AL8" s="12">
        <f t="shared" ref="AL8:AL9" si="12">AH8-AG8</f>
        <v>838</v>
      </c>
      <c r="AM8" s="7">
        <v>1374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1151412</v>
      </c>
      <c r="AU8" s="7"/>
      <c r="AV8" s="24" t="s">
        <v>11</v>
      </c>
      <c r="AW8" s="23">
        <v>14400</v>
      </c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1374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>
        <v>13000</v>
      </c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>
        <v>1374</v>
      </c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>
        <v>13000</v>
      </c>
      <c r="AX9" s="3"/>
    </row>
    <row r="10" spans="2:50" x14ac:dyDescent="0.25">
      <c r="D10" s="21" t="s">
        <v>23</v>
      </c>
      <c r="E10" s="2">
        <f>K10+M10+O10+Q10</f>
        <v>837.82000000000698</v>
      </c>
      <c r="F10" s="3"/>
      <c r="G10" s="3"/>
      <c r="H10" s="3"/>
      <c r="I10" s="3"/>
      <c r="J10" s="3"/>
      <c r="K10" s="22">
        <f>SUM(K8:K9)</f>
        <v>837.82000000000698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838</v>
      </c>
      <c r="AG10" s="3"/>
      <c r="AH10" s="3"/>
      <c r="AI10" s="3"/>
      <c r="AJ10" s="3"/>
      <c r="AK10" s="3"/>
      <c r="AL10" s="22">
        <f>SUM(AL8:AL9)</f>
        <v>838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481588.68</v>
      </c>
      <c r="G11" s="7">
        <v>481983.35</v>
      </c>
      <c r="H11" s="7">
        <v>481983.35</v>
      </c>
      <c r="I11" s="7"/>
      <c r="J11" s="7"/>
      <c r="K11" s="12">
        <f t="shared" ref="K11:K14" si="17">G11-F11</f>
        <v>394.6699999999837</v>
      </c>
      <c r="L11" s="7">
        <v>1374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542276.57999997761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481626</v>
      </c>
      <c r="AH11" s="7">
        <v>482020</v>
      </c>
      <c r="AI11" s="7">
        <v>482020</v>
      </c>
      <c r="AJ11" s="7"/>
      <c r="AK11" s="7"/>
      <c r="AL11" s="12">
        <f t="shared" ref="AL11:AL12" si="20">AH11-AG11</f>
        <v>394</v>
      </c>
      <c r="AM11" s="7">
        <v>1374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541356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545743.35999999999</v>
      </c>
      <c r="G12" s="7">
        <v>546124.84</v>
      </c>
      <c r="H12" s="7">
        <v>546124.84</v>
      </c>
      <c r="I12" s="7"/>
      <c r="J12" s="7"/>
      <c r="K12" s="12">
        <f t="shared" si="17"/>
        <v>381.47999999998137</v>
      </c>
      <c r="L12" s="7">
        <v>1374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524153.51999997441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545783</v>
      </c>
      <c r="AH12" s="7">
        <v>546165</v>
      </c>
      <c r="AI12" s="7">
        <v>546165</v>
      </c>
      <c r="AJ12" s="7"/>
      <c r="AK12" s="7"/>
      <c r="AL12" s="12">
        <f t="shared" si="20"/>
        <v>382</v>
      </c>
      <c r="AM12" s="7">
        <v>1374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524868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776.14999999996508</v>
      </c>
      <c r="F13" s="3"/>
      <c r="G13" s="3"/>
      <c r="H13" s="3"/>
      <c r="I13" s="3"/>
      <c r="J13" s="3"/>
      <c r="K13" s="22">
        <f>SUM(K11:K12)</f>
        <v>776.14999999996508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776</v>
      </c>
      <c r="AG13" s="3"/>
      <c r="AH13" s="3"/>
      <c r="AI13" s="3"/>
      <c r="AJ13" s="3"/>
      <c r="AK13" s="3"/>
      <c r="AL13" s="22">
        <f>SUM(AL11:AL12)</f>
        <v>776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468124.07</v>
      </c>
      <c r="G14" s="7">
        <v>469219.78</v>
      </c>
      <c r="H14" s="7">
        <v>469219.78</v>
      </c>
      <c r="I14" s="7"/>
      <c r="J14" s="7"/>
      <c r="K14" s="12">
        <f t="shared" si="17"/>
        <v>1095.710000000021</v>
      </c>
      <c r="L14" s="7">
        <v>1869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2047881.9900000391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468154</v>
      </c>
      <c r="AH14" s="7">
        <v>469249</v>
      </c>
      <c r="AI14" s="7">
        <v>469249</v>
      </c>
      <c r="AJ14" s="7"/>
      <c r="AK14" s="7"/>
      <c r="AL14" s="12">
        <f t="shared" ref="AL14" si="24">AH14-AG14</f>
        <v>1095</v>
      </c>
      <c r="AM14" s="7">
        <v>1869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2046555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1095.710000000021</v>
      </c>
      <c r="F16" s="3"/>
      <c r="G16" s="3"/>
      <c r="H16" s="3"/>
      <c r="I16" s="7"/>
      <c r="K16" s="22">
        <f>SUM(K14:K15)</f>
        <v>1095.710000000021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1095</v>
      </c>
      <c r="AG16" s="32"/>
      <c r="AH16" s="32"/>
      <c r="AI16" s="32"/>
      <c r="AJ16" s="7"/>
      <c r="AL16" s="22">
        <f>SUM(AL14:AL15)</f>
        <v>1095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7298361.930000036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7297983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10400</v>
      </c>
      <c r="G20" s="35">
        <v>22150</v>
      </c>
      <c r="H20" s="36">
        <f>F20+V7-G20</f>
        <v>750</v>
      </c>
      <c r="I20" s="36">
        <f>E13-H20</f>
        <v>26.149999999965075</v>
      </c>
      <c r="J20" s="37">
        <f>E13*0.085</f>
        <v>65.972749999997035</v>
      </c>
      <c r="K20" s="38">
        <f>I20-J20</f>
        <v>-39.822750000031959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10400</v>
      </c>
      <c r="AH20" s="35">
        <v>22150</v>
      </c>
      <c r="AI20" s="36">
        <f>AG20+AW7-AH20</f>
        <v>750</v>
      </c>
      <c r="AJ20" s="36">
        <f>AF13-AI20</f>
        <v>26</v>
      </c>
      <c r="AK20" s="37">
        <f>AF13*0.085</f>
        <v>65.960000000000008</v>
      </c>
      <c r="AL20" s="38">
        <f>AJ20-AK20</f>
        <v>-39.960000000000008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11550</v>
      </c>
      <c r="G21" s="35">
        <v>23700</v>
      </c>
      <c r="H21" s="36">
        <f>F21+V8-G21</f>
        <v>2250</v>
      </c>
      <c r="I21" s="36">
        <f>E7-H21</f>
        <v>-42.659999999974389</v>
      </c>
      <c r="J21" s="37">
        <f>E7*0.085</f>
        <v>187.62390000000218</v>
      </c>
      <c r="K21" s="38">
        <f>I21-J21</f>
        <v>-230.28389999997657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11550</v>
      </c>
      <c r="AH21" s="35">
        <v>23700</v>
      </c>
      <c r="AI21" s="36">
        <f>AG21+AW8-AH21</f>
        <v>2250</v>
      </c>
      <c r="AJ21" s="36">
        <f>AF7-AI21</f>
        <v>-42</v>
      </c>
      <c r="AK21" s="37">
        <f>AF7*0.085</f>
        <v>187.68</v>
      </c>
      <c r="AL21" s="38">
        <f>AJ21-AK21</f>
        <v>-229.68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8700</v>
      </c>
      <c r="G22" s="35">
        <v>20900</v>
      </c>
      <c r="H22" s="36">
        <f>F22+V9-G22</f>
        <v>800</v>
      </c>
      <c r="I22" s="36">
        <f>E10-H22</f>
        <v>37.820000000006985</v>
      </c>
      <c r="J22" s="37">
        <f>E10*0.085</f>
        <v>71.214700000000605</v>
      </c>
      <c r="K22" s="38">
        <f>I22-J22</f>
        <v>-33.39469999999362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8700</v>
      </c>
      <c r="AH22" s="35">
        <v>20900</v>
      </c>
      <c r="AI22" s="36">
        <f>AG22+AW9-AH22</f>
        <v>800</v>
      </c>
      <c r="AJ22" s="36">
        <f>AF10-AI22</f>
        <v>38</v>
      </c>
      <c r="AK22" s="37">
        <f>AF10*0.085</f>
        <v>71.23</v>
      </c>
      <c r="AL22" s="38">
        <f>AJ22-AK22</f>
        <v>-33.230000000000004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19850</v>
      </c>
      <c r="G23" s="35">
        <v>18850</v>
      </c>
      <c r="H23" s="36">
        <f>F23+V10-G23</f>
        <v>1000</v>
      </c>
      <c r="I23" s="36">
        <f>E16-H23</f>
        <v>95.710000000020955</v>
      </c>
      <c r="J23" s="37">
        <f>E16*0.085</f>
        <v>93.135350000001793</v>
      </c>
      <c r="K23" s="38">
        <f>I23-J23</f>
        <v>2.5746500000191617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19850</v>
      </c>
      <c r="AH23" s="35">
        <v>18850</v>
      </c>
      <c r="AI23" s="36">
        <f>AG23+AW10-AH23</f>
        <v>1000</v>
      </c>
      <c r="AJ23" s="36">
        <f>AF16-AI23</f>
        <v>95</v>
      </c>
      <c r="AK23" s="37">
        <f>AF16*0.085</f>
        <v>93.075000000000003</v>
      </c>
      <c r="AL23" s="38">
        <f>AJ23-AK23</f>
        <v>1.9249999999999972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508870</v>
      </c>
      <c r="E26" s="17">
        <v>1357150</v>
      </c>
      <c r="F26" s="17">
        <v>0</v>
      </c>
      <c r="G26" s="46">
        <v>0</v>
      </c>
      <c r="H26" s="46">
        <v>172100</v>
      </c>
      <c r="I26" s="46">
        <v>15000</v>
      </c>
      <c r="J26" s="46">
        <v>3697325</v>
      </c>
      <c r="K26" s="46">
        <v>198900</v>
      </c>
      <c r="L26" s="46">
        <v>310480</v>
      </c>
      <c r="M26" s="46">
        <v>787084.59</v>
      </c>
      <c r="N26" s="46">
        <v>0</v>
      </c>
      <c r="O26" s="46">
        <v>0</v>
      </c>
      <c r="P26" s="46">
        <v>0</v>
      </c>
      <c r="Q26" s="46">
        <v>5484494.6500000004</v>
      </c>
      <c r="R26" s="47">
        <f>SUM(S17-W23-B26-C26-D26-E26-F26-G26-H26-I26-J26-K26-L26-M26-N26-O26-P26+Q26)</f>
        <v>5735946.9900000365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13" workbookViewId="0">
      <selection activeCell="J18" sqref="J18"/>
    </sheetView>
  </sheetViews>
  <sheetFormatPr defaultRowHeight="15" x14ac:dyDescent="0.25"/>
  <cols>
    <col min="2" max="2" width="9.7109375" bestFit="1" customWidth="1"/>
    <col min="9" max="9" width="10" bestFit="1" customWidth="1"/>
    <col min="18" max="18" width="13" customWidth="1"/>
  </cols>
  <sheetData>
    <row r="1" spans="2:50" x14ac:dyDescent="0.25">
      <c r="B1" s="1">
        <v>46283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428417.76</v>
      </c>
      <c r="G3" s="7">
        <v>428919.37</v>
      </c>
      <c r="H3" s="7">
        <v>429221.37</v>
      </c>
      <c r="I3" s="7"/>
      <c r="J3" s="7"/>
      <c r="K3" s="12">
        <f>G3-F3</f>
        <v>501.60999999998603</v>
      </c>
      <c r="L3" s="7">
        <v>1374</v>
      </c>
      <c r="M3" s="12">
        <f>H3-G3</f>
        <v>302</v>
      </c>
      <c r="N3" s="7">
        <v>1359</v>
      </c>
      <c r="O3" s="12">
        <f>I3</f>
        <v>0</v>
      </c>
      <c r="P3" s="7"/>
      <c r="Q3" s="12">
        <f>J3-I3</f>
        <v>0</v>
      </c>
      <c r="R3" s="7"/>
      <c r="S3" s="12">
        <f>(K3*L3)+(M3*N3)+(O3*P3)+(Q3*R3)</f>
        <v>1099630.1399999808</v>
      </c>
      <c r="T3" s="7"/>
      <c r="U3" s="3" t="s">
        <v>9</v>
      </c>
      <c r="V3" s="13">
        <f>E7+E10+E13</f>
        <v>4494.5800000000163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428451</v>
      </c>
      <c r="AH3" s="7">
        <v>429254</v>
      </c>
      <c r="AI3" s="7">
        <v>429254</v>
      </c>
      <c r="AJ3" s="7"/>
      <c r="AK3" s="7"/>
      <c r="AL3" s="12">
        <f>AH3-AG3</f>
        <v>803</v>
      </c>
      <c r="AM3" s="7">
        <v>1359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1091277</v>
      </c>
      <c r="AU3" s="7"/>
      <c r="AV3" s="3" t="s">
        <v>9</v>
      </c>
      <c r="AW3" s="13">
        <f>AF7+AF10+AF13</f>
        <v>4494</v>
      </c>
      <c r="AX3" s="3"/>
    </row>
    <row r="4" spans="2:50" x14ac:dyDescent="0.25">
      <c r="D4" s="3"/>
      <c r="E4" s="3" t="s">
        <v>11</v>
      </c>
      <c r="F4" s="7">
        <v>318436.53000000003</v>
      </c>
      <c r="G4" s="7">
        <v>318716.62</v>
      </c>
      <c r="H4" s="7">
        <v>318815.61</v>
      </c>
      <c r="I4" s="7"/>
      <c r="J4" s="7"/>
      <c r="K4" s="12">
        <f t="shared" ref="K4:K6" si="0">G4-F4</f>
        <v>280.0899999999674</v>
      </c>
      <c r="L4" s="7">
        <v>1374</v>
      </c>
      <c r="M4" s="12">
        <f t="shared" ref="M4:M6" si="1">H4-G4</f>
        <v>98.989999999990687</v>
      </c>
      <c r="N4" s="7">
        <v>1359</v>
      </c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519371.06999994256</v>
      </c>
      <c r="T4" s="7"/>
      <c r="U4" s="3" t="s">
        <v>12</v>
      </c>
      <c r="V4" s="13">
        <f>E16</f>
        <v>1212.1699999999837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318474</v>
      </c>
      <c r="AH4" s="7">
        <v>318853</v>
      </c>
      <c r="AI4" s="7">
        <v>318853</v>
      </c>
      <c r="AJ4" s="7"/>
      <c r="AK4" s="7"/>
      <c r="AL4" s="12">
        <f t="shared" ref="AL4:AL6" si="4">AH4-AG4</f>
        <v>379</v>
      </c>
      <c r="AM4" s="7">
        <v>1359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515061</v>
      </c>
      <c r="AU4" s="7"/>
      <c r="AV4" s="3" t="s">
        <v>12</v>
      </c>
      <c r="AW4" s="13">
        <f>AF16</f>
        <v>1212</v>
      </c>
      <c r="AX4" s="3"/>
    </row>
    <row r="5" spans="2:50" x14ac:dyDescent="0.25">
      <c r="D5" s="4"/>
      <c r="E5" s="3" t="s">
        <v>14</v>
      </c>
      <c r="F5" s="7">
        <v>326093.03000000003</v>
      </c>
      <c r="G5" s="7">
        <v>326245.63</v>
      </c>
      <c r="H5" s="7">
        <v>326406.03999999998</v>
      </c>
      <c r="I5" s="7"/>
      <c r="J5" s="7"/>
      <c r="K5" s="12">
        <f t="shared" si="0"/>
        <v>152.59999999997672</v>
      </c>
      <c r="L5" s="7">
        <v>1374</v>
      </c>
      <c r="M5" s="12">
        <f t="shared" si="1"/>
        <v>160.40999999997439</v>
      </c>
      <c r="N5" s="7">
        <v>1359</v>
      </c>
      <c r="O5" s="12">
        <f>I5</f>
        <v>0</v>
      </c>
      <c r="P5" s="7"/>
      <c r="Q5" s="12">
        <f t="shared" si="2"/>
        <v>0</v>
      </c>
      <c r="R5" s="7"/>
      <c r="S5" s="12">
        <f t="shared" si="3"/>
        <v>427669.5899999332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326132</v>
      </c>
      <c r="AH5" s="7">
        <v>326445</v>
      </c>
      <c r="AI5" s="7">
        <v>326445</v>
      </c>
      <c r="AJ5" s="7"/>
      <c r="AK5" s="7"/>
      <c r="AL5" s="12">
        <f t="shared" si="4"/>
        <v>313</v>
      </c>
      <c r="AM5" s="7">
        <v>1359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425367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515374.17</v>
      </c>
      <c r="G6" s="7">
        <v>516115.76</v>
      </c>
      <c r="H6" s="7">
        <v>516397.14</v>
      </c>
      <c r="I6" s="7"/>
      <c r="J6" s="7"/>
      <c r="K6" s="12">
        <f t="shared" si="0"/>
        <v>741.59000000002561</v>
      </c>
      <c r="L6" s="7">
        <v>1374</v>
      </c>
      <c r="M6" s="12">
        <f t="shared" si="1"/>
        <v>281.38000000000466</v>
      </c>
      <c r="N6" s="7">
        <v>1359</v>
      </c>
      <c r="O6" s="12">
        <f>I6</f>
        <v>0</v>
      </c>
      <c r="P6" s="7"/>
      <c r="Q6" s="12">
        <f t="shared" si="2"/>
        <v>0</v>
      </c>
      <c r="R6" s="7"/>
      <c r="S6" s="12">
        <f t="shared" si="3"/>
        <v>1401340.0800000415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515413</v>
      </c>
      <c r="AH6" s="7">
        <v>516436</v>
      </c>
      <c r="AI6" s="7">
        <v>516436</v>
      </c>
      <c r="AJ6" s="7"/>
      <c r="AK6" s="7"/>
      <c r="AL6" s="12">
        <f t="shared" si="4"/>
        <v>1023</v>
      </c>
      <c r="AM6" s="7">
        <v>1359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1390257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2518.6699999999255</v>
      </c>
      <c r="F7" s="3"/>
      <c r="G7" s="3"/>
      <c r="H7" s="3"/>
      <c r="I7" s="3"/>
      <c r="J7" s="3"/>
      <c r="K7" s="22">
        <f>SUM(K3:K6)</f>
        <v>1675.8899999999558</v>
      </c>
      <c r="L7" s="7"/>
      <c r="M7" s="22">
        <f>SUM(M3:M6)</f>
        <v>842.77999999996973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2518</v>
      </c>
      <c r="AG7" s="3"/>
      <c r="AH7" s="3"/>
      <c r="AI7" s="3"/>
      <c r="AJ7" s="3"/>
      <c r="AK7" s="3"/>
      <c r="AL7" s="22">
        <f>SUM(AL3:AL6)</f>
        <v>2518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375770.36</v>
      </c>
      <c r="G8" s="7">
        <v>376375.53</v>
      </c>
      <c r="H8" s="7">
        <v>376607.95</v>
      </c>
      <c r="I8" s="7"/>
      <c r="J8" s="7"/>
      <c r="K8" s="12">
        <f t="shared" ref="K8:K9" si="9">G8-F8</f>
        <v>605.17000000004191</v>
      </c>
      <c r="L8" s="7">
        <v>1374</v>
      </c>
      <c r="M8" s="12">
        <f t="shared" ref="M8:M9" si="10">H8-G8</f>
        <v>232.4199999999837</v>
      </c>
      <c r="N8" s="7">
        <v>1359</v>
      </c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1147362.3600000355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490148</v>
      </c>
      <c r="AH8" s="7">
        <v>490985</v>
      </c>
      <c r="AI8" s="7">
        <v>490985</v>
      </c>
      <c r="AJ8" s="7"/>
      <c r="AK8" s="7"/>
      <c r="AL8" s="12">
        <f t="shared" ref="AL8:AL9" si="12">AH8-AG8</f>
        <v>837</v>
      </c>
      <c r="AM8" s="7">
        <v>1359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1137483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>
        <v>1374</v>
      </c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/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837.59000000002561</v>
      </c>
      <c r="F10" s="3"/>
      <c r="G10" s="3"/>
      <c r="H10" s="3"/>
      <c r="I10" s="3"/>
      <c r="J10" s="3"/>
      <c r="K10" s="22">
        <f>SUM(K8:K9)</f>
        <v>605.17000000004191</v>
      </c>
      <c r="L10" s="7"/>
      <c r="M10" s="22">
        <f>SUM(M8:M9)</f>
        <v>232.4199999999837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837</v>
      </c>
      <c r="AG10" s="3"/>
      <c r="AH10" s="3"/>
      <c r="AI10" s="3"/>
      <c r="AJ10" s="3"/>
      <c r="AK10" s="3"/>
      <c r="AL10" s="22">
        <f>SUM(AL8:AL9)</f>
        <v>837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481983.35</v>
      </c>
      <c r="G11" s="7">
        <v>482281.95</v>
      </c>
      <c r="H11" s="7">
        <v>482461.74</v>
      </c>
      <c r="I11" s="7"/>
      <c r="J11" s="7"/>
      <c r="K11" s="12">
        <f t="shared" ref="K11:K14" si="17">G11-F11</f>
        <v>298.60000000003492</v>
      </c>
      <c r="L11" s="7">
        <v>1374</v>
      </c>
      <c r="M11" s="12">
        <f t="shared" ref="M11:M12" si="18">H11-G11</f>
        <v>179.78999999997905</v>
      </c>
      <c r="N11" s="7">
        <v>1359</v>
      </c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654611.01000001957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482020</v>
      </c>
      <c r="AH11" s="7">
        <v>482499</v>
      </c>
      <c r="AI11" s="7">
        <v>482499</v>
      </c>
      <c r="AJ11" s="7"/>
      <c r="AK11" s="7"/>
      <c r="AL11" s="12">
        <f t="shared" ref="AL11:AL12" si="20">AH11-AG11</f>
        <v>479</v>
      </c>
      <c r="AM11" s="7">
        <v>1359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650961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546124.84</v>
      </c>
      <c r="G12" s="7">
        <v>546629.81000000006</v>
      </c>
      <c r="H12" s="7">
        <v>546784.77</v>
      </c>
      <c r="I12" s="7"/>
      <c r="J12" s="7"/>
      <c r="K12" s="12">
        <f t="shared" si="17"/>
        <v>504.97000000008848</v>
      </c>
      <c r="L12" s="7">
        <v>1374</v>
      </c>
      <c r="M12" s="12">
        <f t="shared" si="18"/>
        <v>154.95999999996275</v>
      </c>
      <c r="N12" s="7">
        <v>1359</v>
      </c>
      <c r="O12" s="12">
        <f>I12</f>
        <v>0</v>
      </c>
      <c r="P12" s="7"/>
      <c r="Q12" s="12">
        <f t="shared" si="19"/>
        <v>0</v>
      </c>
      <c r="R12" s="7"/>
      <c r="S12" s="12">
        <f t="shared" si="3"/>
        <v>904419.42000007094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546165</v>
      </c>
      <c r="AH12" s="7">
        <v>546825</v>
      </c>
      <c r="AI12" s="7">
        <v>546825</v>
      </c>
      <c r="AJ12" s="7"/>
      <c r="AK12" s="7"/>
      <c r="AL12" s="12">
        <f t="shared" si="20"/>
        <v>660</v>
      </c>
      <c r="AM12" s="7">
        <v>1359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896940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1138.3200000000652</v>
      </c>
      <c r="F13" s="3"/>
      <c r="G13" s="3"/>
      <c r="H13" s="3"/>
      <c r="I13" s="3"/>
      <c r="J13" s="3"/>
      <c r="K13" s="22">
        <f>SUM(K11:K12)</f>
        <v>803.5700000001234</v>
      </c>
      <c r="L13" s="7"/>
      <c r="M13" s="22">
        <f>SUM(M11:M12)</f>
        <v>334.74999999994179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1139</v>
      </c>
      <c r="AG13" s="3"/>
      <c r="AH13" s="3"/>
      <c r="AI13" s="3"/>
      <c r="AJ13" s="3"/>
      <c r="AK13" s="3"/>
      <c r="AL13" s="22">
        <f>SUM(AL11:AL12)</f>
        <v>1139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469219.78</v>
      </c>
      <c r="G14" s="7">
        <v>470203.19</v>
      </c>
      <c r="H14" s="7">
        <v>470431.95</v>
      </c>
      <c r="I14" s="7"/>
      <c r="J14" s="7"/>
      <c r="K14" s="12">
        <f t="shared" si="17"/>
        <v>983.40999999997439</v>
      </c>
      <c r="L14" s="7">
        <v>1869</v>
      </c>
      <c r="M14" s="12">
        <f>H14-G14</f>
        <v>228.76000000000931</v>
      </c>
      <c r="N14" s="7">
        <v>1857</v>
      </c>
      <c r="O14" s="12">
        <f>I14</f>
        <v>0</v>
      </c>
      <c r="P14" s="7"/>
      <c r="Q14" s="12">
        <f>J14-I14</f>
        <v>0</v>
      </c>
      <c r="R14" s="7"/>
      <c r="S14" s="12">
        <f t="shared" si="3"/>
        <v>2262800.6099999696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469249</v>
      </c>
      <c r="AH14" s="7">
        <v>470461</v>
      </c>
      <c r="AI14" s="7">
        <v>470461</v>
      </c>
      <c r="AJ14" s="7"/>
      <c r="AK14" s="7"/>
      <c r="AL14" s="12">
        <f t="shared" ref="AL14" si="24">AH14-AG14</f>
        <v>1212</v>
      </c>
      <c r="AM14" s="7">
        <v>1857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2250684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1212.1699999999837</v>
      </c>
      <c r="F16" s="3"/>
      <c r="G16" s="3"/>
      <c r="H16" s="3"/>
      <c r="I16" s="7"/>
      <c r="K16" s="22">
        <f>SUM(K14:K15)</f>
        <v>983.40999999997439</v>
      </c>
      <c r="L16" s="7"/>
      <c r="M16" s="22">
        <f>SUM(M14:M15)</f>
        <v>228.76000000000931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1212</v>
      </c>
      <c r="AG16" s="32"/>
      <c r="AH16" s="32"/>
      <c r="AI16" s="32"/>
      <c r="AJ16" s="7"/>
      <c r="AL16" s="22">
        <f>SUM(AL14:AL15)</f>
        <v>1212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8417204.2799999937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8358030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22150</v>
      </c>
      <c r="G20" s="35">
        <v>21100</v>
      </c>
      <c r="H20" s="36">
        <f>F20+V7-G20</f>
        <v>1050</v>
      </c>
      <c r="I20" s="36">
        <f>E13-H20</f>
        <v>88.320000000065193</v>
      </c>
      <c r="J20" s="37">
        <f>E13*0.085</f>
        <v>96.757200000005554</v>
      </c>
      <c r="K20" s="38">
        <f>I20-J20</f>
        <v>-8.4371999999403613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22150</v>
      </c>
      <c r="AH20" s="35">
        <v>21100</v>
      </c>
      <c r="AI20" s="36">
        <f>AG20+AW7-AH20</f>
        <v>1050</v>
      </c>
      <c r="AJ20" s="36">
        <f>AF13-AI20</f>
        <v>89</v>
      </c>
      <c r="AK20" s="37">
        <f>AF13*0.085</f>
        <v>96.815000000000012</v>
      </c>
      <c r="AL20" s="38">
        <f>AJ20-AK20</f>
        <v>-7.8150000000000119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23700</v>
      </c>
      <c r="G21" s="35">
        <v>21400</v>
      </c>
      <c r="H21" s="36">
        <f>F21+V8-G21</f>
        <v>2300</v>
      </c>
      <c r="I21" s="36">
        <f>E7-H21</f>
        <v>218.66999999992549</v>
      </c>
      <c r="J21" s="37">
        <f>E7*0.085</f>
        <v>214.08694999999369</v>
      </c>
      <c r="K21" s="38">
        <f>I21-J21</f>
        <v>4.5830499999318022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23700</v>
      </c>
      <c r="AH21" s="35">
        <v>21400</v>
      </c>
      <c r="AI21" s="36">
        <f>AG21+AW8-AH21</f>
        <v>2300</v>
      </c>
      <c r="AJ21" s="36">
        <f>AF7-AI21</f>
        <v>218</v>
      </c>
      <c r="AK21" s="37">
        <f>AF7*0.085</f>
        <v>214.03000000000003</v>
      </c>
      <c r="AL21" s="38">
        <f>AJ21-AK21</f>
        <v>3.9699999999999704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20900</v>
      </c>
      <c r="G22" s="35">
        <v>20050</v>
      </c>
      <c r="H22" s="36">
        <f>F22+V9-G22</f>
        <v>850</v>
      </c>
      <c r="I22" s="36">
        <f>E10-H22</f>
        <v>-12.409999999974389</v>
      </c>
      <c r="J22" s="37">
        <f>E10*0.085</f>
        <v>71.195150000002187</v>
      </c>
      <c r="K22" s="38">
        <f>I22-J22</f>
        <v>-83.605149999976575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20900</v>
      </c>
      <c r="AH22" s="35">
        <v>20050</v>
      </c>
      <c r="AI22" s="36">
        <f>AG22+AW9-AH22</f>
        <v>850</v>
      </c>
      <c r="AJ22" s="36">
        <f>AF10-AI22</f>
        <v>-13</v>
      </c>
      <c r="AK22" s="37">
        <f>AF10*0.085</f>
        <v>71.14500000000001</v>
      </c>
      <c r="AL22" s="38">
        <f>AJ22-AK22</f>
        <v>-84.14500000000001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18850</v>
      </c>
      <c r="G23" s="35">
        <v>17700</v>
      </c>
      <c r="H23" s="36">
        <f>F23+V10-G23</f>
        <v>1150</v>
      </c>
      <c r="I23" s="36">
        <f>E16-H23</f>
        <v>62.169999999983702</v>
      </c>
      <c r="J23" s="37">
        <f>E16*0.085</f>
        <v>103.03444999999863</v>
      </c>
      <c r="K23" s="38">
        <f>I23-J23</f>
        <v>-40.864450000014926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18850</v>
      </c>
      <c r="AH23" s="35">
        <v>17700</v>
      </c>
      <c r="AI23" s="36">
        <f>AG23+AW10-AH23</f>
        <v>1150</v>
      </c>
      <c r="AJ23" s="36">
        <f>AF16-AI23</f>
        <v>62</v>
      </c>
      <c r="AK23" s="37">
        <f>AF16*0.085</f>
        <v>103.02000000000001</v>
      </c>
      <c r="AL23" s="38">
        <f>AJ23-AK23</f>
        <v>-41.02000000000001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0</v>
      </c>
      <c r="E26" s="17">
        <v>0</v>
      </c>
      <c r="F26" s="17">
        <v>0</v>
      </c>
      <c r="G26" s="46">
        <v>353121</v>
      </c>
      <c r="H26" s="46">
        <v>0</v>
      </c>
      <c r="I26" s="46">
        <v>4210976</v>
      </c>
      <c r="J26" s="46">
        <v>963740</v>
      </c>
      <c r="K26" s="46">
        <v>0</v>
      </c>
      <c r="L26" s="46">
        <v>508800</v>
      </c>
      <c r="M26" s="46">
        <v>461725</v>
      </c>
      <c r="N26" s="46">
        <v>175322</v>
      </c>
      <c r="O26" s="46">
        <v>0</v>
      </c>
      <c r="P26" s="46">
        <v>272500</v>
      </c>
      <c r="Q26" s="46">
        <v>5735946.9900000365</v>
      </c>
      <c r="R26" s="47">
        <f>SUM(S17-W23-B26-C26-D26-E26-F26-G26-H26-I26-J26-K26-L26-M26-N26-O26-P26+Q26)</f>
        <v>7206967.2700000303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9" workbookViewId="0">
      <selection activeCell="H28" sqref="H28"/>
    </sheetView>
  </sheetViews>
  <sheetFormatPr defaultRowHeight="15" x14ac:dyDescent="0.25"/>
  <cols>
    <col min="2" max="2" width="9.7109375" bestFit="1" customWidth="1"/>
    <col min="9" max="10" width="10" bestFit="1" customWidth="1"/>
    <col min="17" max="17" width="10" bestFit="1" customWidth="1"/>
    <col min="18" max="18" width="13" customWidth="1"/>
  </cols>
  <sheetData>
    <row r="1" spans="2:50" x14ac:dyDescent="0.25">
      <c r="B1" s="1">
        <v>46284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429221.37</v>
      </c>
      <c r="G3" s="7">
        <v>430248.98</v>
      </c>
      <c r="H3" s="7">
        <v>430248.98</v>
      </c>
      <c r="I3" s="7"/>
      <c r="J3" s="7"/>
      <c r="K3" s="12">
        <f>G3-F3</f>
        <v>1027.609999999986</v>
      </c>
      <c r="L3" s="7">
        <v>1359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1396521.9899999811</v>
      </c>
      <c r="T3" s="7"/>
      <c r="U3" s="3" t="s">
        <v>9</v>
      </c>
      <c r="V3" s="13">
        <f>E7+E10+E13</f>
        <v>5214.2999999999884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429254</v>
      </c>
      <c r="AH3" s="7">
        <v>430282</v>
      </c>
      <c r="AI3" s="7">
        <v>430282</v>
      </c>
      <c r="AJ3" s="7"/>
      <c r="AK3" s="7"/>
      <c r="AL3" s="12">
        <f>AH3-AG3</f>
        <v>1028</v>
      </c>
      <c r="AM3" s="7">
        <v>1359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1397052</v>
      </c>
      <c r="AU3" s="7"/>
      <c r="AV3" s="3" t="s">
        <v>9</v>
      </c>
      <c r="AW3" s="13">
        <f>AF7+AF10+AF13</f>
        <v>5214</v>
      </c>
      <c r="AX3" s="3"/>
    </row>
    <row r="4" spans="2:50" x14ac:dyDescent="0.25">
      <c r="D4" s="3"/>
      <c r="E4" s="3" t="s">
        <v>11</v>
      </c>
      <c r="F4" s="7">
        <v>318815.61</v>
      </c>
      <c r="G4" s="7">
        <v>319272.53999999998</v>
      </c>
      <c r="H4" s="7">
        <v>319272.53999999998</v>
      </c>
      <c r="I4" s="7"/>
      <c r="J4" s="7"/>
      <c r="K4" s="12">
        <f t="shared" ref="K4:K6" si="0">G4-F4</f>
        <v>456.92999999999302</v>
      </c>
      <c r="L4" s="7">
        <v>1359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620967.86999999057</v>
      </c>
      <c r="T4" s="7"/>
      <c r="U4" s="3" t="s">
        <v>12</v>
      </c>
      <c r="V4" s="13">
        <f>E16</f>
        <v>454.38000000000466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318853</v>
      </c>
      <c r="AH4" s="7">
        <v>319310</v>
      </c>
      <c r="AI4" s="7">
        <v>319310</v>
      </c>
      <c r="AJ4" s="7"/>
      <c r="AK4" s="7"/>
      <c r="AL4" s="12">
        <f t="shared" ref="AL4:AL6" si="4">AH4-AG4</f>
        <v>457</v>
      </c>
      <c r="AM4" s="7">
        <v>1359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621063</v>
      </c>
      <c r="AU4" s="7"/>
      <c r="AV4" s="3" t="s">
        <v>12</v>
      </c>
      <c r="AW4" s="13">
        <f>AF16</f>
        <v>455</v>
      </c>
      <c r="AX4" s="3"/>
    </row>
    <row r="5" spans="2:50" x14ac:dyDescent="0.25">
      <c r="D5" s="4"/>
      <c r="E5" s="3" t="s">
        <v>14</v>
      </c>
      <c r="F5" s="7">
        <v>326406.03999999998</v>
      </c>
      <c r="G5" s="7">
        <v>327050.86</v>
      </c>
      <c r="H5" s="7">
        <v>327050.86</v>
      </c>
      <c r="I5" s="7"/>
      <c r="J5" s="7"/>
      <c r="K5" s="12">
        <f t="shared" si="0"/>
        <v>644.82000000000698</v>
      </c>
      <c r="L5" s="7">
        <v>1359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876310.38000000943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326445</v>
      </c>
      <c r="AH5" s="7">
        <v>327090</v>
      </c>
      <c r="AI5" s="7">
        <v>327090</v>
      </c>
      <c r="AJ5" s="7"/>
      <c r="AK5" s="7"/>
      <c r="AL5" s="12">
        <f t="shared" si="4"/>
        <v>645</v>
      </c>
      <c r="AM5" s="7">
        <v>1359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876555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516397.14</v>
      </c>
      <c r="G6" s="7">
        <v>517222.02</v>
      </c>
      <c r="H6" s="7">
        <v>517222.02</v>
      </c>
      <c r="I6" s="7"/>
      <c r="J6" s="7"/>
      <c r="K6" s="12">
        <f t="shared" si="0"/>
        <v>824.88000000000466</v>
      </c>
      <c r="L6" s="7">
        <v>1359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1121011.9200000064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516436</v>
      </c>
      <c r="AH6" s="7">
        <v>517261</v>
      </c>
      <c r="AI6" s="7">
        <v>517261</v>
      </c>
      <c r="AJ6" s="7"/>
      <c r="AK6" s="7"/>
      <c r="AL6" s="12">
        <f t="shared" si="4"/>
        <v>825</v>
      </c>
      <c r="AM6" s="7">
        <v>1359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1121175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2954.2399999999907</v>
      </c>
      <c r="F7" s="3"/>
      <c r="G7" s="3"/>
      <c r="H7" s="3"/>
      <c r="I7" s="3"/>
      <c r="J7" s="3"/>
      <c r="K7" s="22">
        <f>SUM(K3:K6)</f>
        <v>2954.2399999999907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2955</v>
      </c>
      <c r="AG7" s="3"/>
      <c r="AH7" s="3"/>
      <c r="AI7" s="3"/>
      <c r="AJ7" s="3"/>
      <c r="AK7" s="3"/>
      <c r="AL7" s="22">
        <f>SUM(AL3:AL6)</f>
        <v>2955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376607.95</v>
      </c>
      <c r="G8" s="7">
        <v>377486.99</v>
      </c>
      <c r="H8" s="7">
        <v>377486.99</v>
      </c>
      <c r="I8" s="7"/>
      <c r="J8" s="7"/>
      <c r="K8" s="12">
        <f t="shared" ref="K8:K9" si="9">G8-F8</f>
        <v>879.03999999997905</v>
      </c>
      <c r="L8" s="7">
        <v>1359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1194615.3599999715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490985</v>
      </c>
      <c r="AH8" s="7">
        <v>491864</v>
      </c>
      <c r="AI8" s="7">
        <v>491864</v>
      </c>
      <c r="AJ8" s="7"/>
      <c r="AK8" s="7"/>
      <c r="AL8" s="12">
        <f t="shared" ref="AL8:AL9" si="12">AH8-AG8</f>
        <v>879</v>
      </c>
      <c r="AM8" s="7">
        <v>1359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1194561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/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/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879.03999999997905</v>
      </c>
      <c r="F10" s="3"/>
      <c r="G10" s="3"/>
      <c r="H10" s="3"/>
      <c r="I10" s="3"/>
      <c r="J10" s="3"/>
      <c r="K10" s="22">
        <f>SUM(K8:K9)</f>
        <v>879.03999999997905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879</v>
      </c>
      <c r="AG10" s="3"/>
      <c r="AH10" s="3"/>
      <c r="AI10" s="3"/>
      <c r="AJ10" s="3"/>
      <c r="AK10" s="3"/>
      <c r="AL10" s="22">
        <f>SUM(AL8:AL9)</f>
        <v>879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482461.74</v>
      </c>
      <c r="G11" s="7">
        <v>483062.52</v>
      </c>
      <c r="H11" s="7">
        <v>483062.52</v>
      </c>
      <c r="I11" s="7"/>
      <c r="J11" s="7"/>
      <c r="K11" s="12">
        <f t="shared" ref="K11:K14" si="17">G11-F11</f>
        <v>600.78000000002794</v>
      </c>
      <c r="L11" s="7">
        <v>1359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816460.02000003797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482499</v>
      </c>
      <c r="AH11" s="7">
        <v>483099</v>
      </c>
      <c r="AI11" s="7">
        <v>483099</v>
      </c>
      <c r="AJ11" s="7"/>
      <c r="AK11" s="7"/>
      <c r="AL11" s="12">
        <f t="shared" ref="AL11:AL12" si="20">AH11-AG11</f>
        <v>600</v>
      </c>
      <c r="AM11" s="7">
        <v>1359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815400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546784.77</v>
      </c>
      <c r="G12" s="7">
        <v>547565.01</v>
      </c>
      <c r="H12" s="7">
        <v>547565.01</v>
      </c>
      <c r="I12" s="7"/>
      <c r="J12" s="7"/>
      <c r="K12" s="12">
        <f t="shared" si="17"/>
        <v>780.23999999999069</v>
      </c>
      <c r="L12" s="7">
        <v>1359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1060346.1599999873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546825</v>
      </c>
      <c r="AH12" s="7">
        <v>547605</v>
      </c>
      <c r="AI12" s="7">
        <v>547605</v>
      </c>
      <c r="AJ12" s="7"/>
      <c r="AK12" s="7"/>
      <c r="AL12" s="12">
        <f t="shared" si="20"/>
        <v>780</v>
      </c>
      <c r="AM12" s="7">
        <v>1359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1060020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1381.0200000000186</v>
      </c>
      <c r="F13" s="3"/>
      <c r="G13" s="3"/>
      <c r="H13" s="3"/>
      <c r="I13" s="3"/>
      <c r="J13" s="3"/>
      <c r="K13" s="22">
        <f>SUM(K11:K12)</f>
        <v>1381.0200000000186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1380</v>
      </c>
      <c r="AG13" s="3"/>
      <c r="AH13" s="3"/>
      <c r="AI13" s="3"/>
      <c r="AJ13" s="3"/>
      <c r="AK13" s="3"/>
      <c r="AL13" s="22">
        <f>SUM(AL11:AL12)</f>
        <v>1380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470431.95</v>
      </c>
      <c r="G14" s="7">
        <v>470886.33</v>
      </c>
      <c r="H14" s="7">
        <v>470886.33</v>
      </c>
      <c r="I14" s="7"/>
      <c r="J14" s="7"/>
      <c r="K14" s="12">
        <f t="shared" si="17"/>
        <v>454.38000000000466</v>
      </c>
      <c r="L14" s="7">
        <v>1857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843783.66000000865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470461</v>
      </c>
      <c r="AH14" s="7">
        <v>470916</v>
      </c>
      <c r="AI14" s="7">
        <v>470916</v>
      </c>
      <c r="AJ14" s="7"/>
      <c r="AK14" s="7"/>
      <c r="AL14" s="12">
        <f t="shared" ref="AL14" si="24">AH14-AG14</f>
        <v>455</v>
      </c>
      <c r="AM14" s="7">
        <v>1857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844935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454.38000000000466</v>
      </c>
      <c r="F16" s="3"/>
      <c r="G16" s="3"/>
      <c r="H16" s="3"/>
      <c r="I16" s="7"/>
      <c r="K16" s="22">
        <f>SUM(K14:K15)</f>
        <v>454.38000000000466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455</v>
      </c>
      <c r="AG16" s="32"/>
      <c r="AH16" s="32"/>
      <c r="AI16" s="32"/>
      <c r="AJ16" s="7"/>
      <c r="AL16" s="22">
        <f>SUM(AL14:AL15)</f>
        <v>455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7930017.359999992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7930761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21100</v>
      </c>
      <c r="G20" s="35">
        <v>19750</v>
      </c>
      <c r="H20" s="36">
        <f>F20+V7-G20</f>
        <v>1350</v>
      </c>
      <c r="I20" s="36">
        <f>E13-H20</f>
        <v>31.020000000018626</v>
      </c>
      <c r="J20" s="37">
        <f>E13*0.085</f>
        <v>117.3867000000016</v>
      </c>
      <c r="K20" s="38">
        <f>I20-J20</f>
        <v>-86.36669999998297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21100</v>
      </c>
      <c r="AH20" s="35">
        <v>19750</v>
      </c>
      <c r="AI20" s="36">
        <f>AG20+AW7-AH20</f>
        <v>1350</v>
      </c>
      <c r="AJ20" s="36">
        <f>AF13-AI20</f>
        <v>30</v>
      </c>
      <c r="AK20" s="37">
        <f>AF13*0.085</f>
        <v>117.30000000000001</v>
      </c>
      <c r="AL20" s="38">
        <f>AJ20-AK20</f>
        <v>-87.300000000000011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21400</v>
      </c>
      <c r="G21" s="35">
        <v>18600</v>
      </c>
      <c r="H21" s="36">
        <f>F21+V8-G21</f>
        <v>2800</v>
      </c>
      <c r="I21" s="36">
        <f>E7-H21</f>
        <v>154.23999999999069</v>
      </c>
      <c r="J21" s="37">
        <f>E7*0.085</f>
        <v>251.11039999999923</v>
      </c>
      <c r="K21" s="38">
        <f>I21-J21</f>
        <v>-96.870400000008544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21400</v>
      </c>
      <c r="AH21" s="35">
        <v>18600</v>
      </c>
      <c r="AI21" s="36">
        <f>AG21+AW8-AH21</f>
        <v>2800</v>
      </c>
      <c r="AJ21" s="36">
        <f>AF7-AI21</f>
        <v>155</v>
      </c>
      <c r="AK21" s="37">
        <f>AF7*0.085</f>
        <v>251.17500000000001</v>
      </c>
      <c r="AL21" s="38">
        <f>AJ21-AK21</f>
        <v>-96.175000000000011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20050</v>
      </c>
      <c r="G22" s="35">
        <v>19200</v>
      </c>
      <c r="H22" s="36">
        <f>F22+V9-G22</f>
        <v>850</v>
      </c>
      <c r="I22" s="36">
        <f>E10-H22</f>
        <v>29.039999999979045</v>
      </c>
      <c r="J22" s="37">
        <f>E10*0.085</f>
        <v>74.718399999998226</v>
      </c>
      <c r="K22" s="38">
        <f>I22-J22</f>
        <v>-45.678400000019181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20050</v>
      </c>
      <c r="AH22" s="35">
        <v>19200</v>
      </c>
      <c r="AI22" s="36">
        <f>AG22+AW9-AH22</f>
        <v>850</v>
      </c>
      <c r="AJ22" s="36">
        <f>AF10-AI22</f>
        <v>29</v>
      </c>
      <c r="AK22" s="37">
        <f>AF10*0.085</f>
        <v>74.715000000000003</v>
      </c>
      <c r="AL22" s="38">
        <f>AJ22-AK22</f>
        <v>-45.715000000000003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17700</v>
      </c>
      <c r="G23" s="35">
        <v>17250</v>
      </c>
      <c r="H23" s="36">
        <f>F23+V10-G23</f>
        <v>450</v>
      </c>
      <c r="I23" s="36">
        <f>E16-H23</f>
        <v>4.3800000000046566</v>
      </c>
      <c r="J23" s="37">
        <f>E16*0.085</f>
        <v>38.622300000000401</v>
      </c>
      <c r="K23" s="38">
        <f>I23-J23</f>
        <v>-34.242299999995744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17700</v>
      </c>
      <c r="AH23" s="35">
        <v>17250</v>
      </c>
      <c r="AI23" s="36">
        <f>AG23+AW10-AH23</f>
        <v>450</v>
      </c>
      <c r="AJ23" s="36">
        <f>AF16-AI23</f>
        <v>5</v>
      </c>
      <c r="AK23" s="37">
        <f>AF16*0.085</f>
        <v>38.675000000000004</v>
      </c>
      <c r="AL23" s="38">
        <f>AJ23-AK23</f>
        <v>-33.675000000000004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637310</v>
      </c>
      <c r="E26" s="17">
        <v>0</v>
      </c>
      <c r="F26" s="17">
        <v>0</v>
      </c>
      <c r="G26" s="46">
        <v>0</v>
      </c>
      <c r="H26" s="46">
        <v>423930.19</v>
      </c>
      <c r="I26" s="46">
        <v>93500</v>
      </c>
      <c r="J26" s="46">
        <v>4497268</v>
      </c>
      <c r="K26" s="46">
        <v>480235</v>
      </c>
      <c r="L26" s="46">
        <v>490180</v>
      </c>
      <c r="M26" s="46">
        <v>453130</v>
      </c>
      <c r="N26" s="46">
        <v>0</v>
      </c>
      <c r="O26" s="46">
        <v>0</v>
      </c>
      <c r="P26" s="46">
        <v>0</v>
      </c>
      <c r="Q26" s="46">
        <v>7206967.2699999996</v>
      </c>
      <c r="R26" s="47">
        <f>SUM(S17-W23-B26-C26-D26-E26-F26-G26-H26-I26-J26-K26-L26-M26-N26-O26-P26+Q26)</f>
        <v>8061431.4399999911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7" workbookViewId="0">
      <selection activeCell="I28" sqref="I28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3" customWidth="1"/>
    <col min="19" max="19" width="11.140625" bestFit="1" customWidth="1"/>
  </cols>
  <sheetData>
    <row r="1" spans="2:50" x14ac:dyDescent="0.25">
      <c r="B1" s="1">
        <v>46285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430248.98</v>
      </c>
      <c r="G3" s="7">
        <v>431091.89</v>
      </c>
      <c r="H3" s="7">
        <v>431091.89</v>
      </c>
      <c r="I3" s="7"/>
      <c r="J3" s="7"/>
      <c r="K3" s="12">
        <f>G3-F3</f>
        <v>842.9100000000326</v>
      </c>
      <c r="L3" s="7">
        <v>1359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1145514.6900000442</v>
      </c>
      <c r="T3" s="7"/>
      <c r="U3" s="3" t="s">
        <v>9</v>
      </c>
      <c r="V3" s="13">
        <f>E7+E10+E13</f>
        <v>4578.789999999979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430282</v>
      </c>
      <c r="AH3" s="7">
        <v>431125</v>
      </c>
      <c r="AI3" s="7">
        <v>431125</v>
      </c>
      <c r="AJ3" s="7"/>
      <c r="AK3" s="7"/>
      <c r="AL3" s="12">
        <f>AH3-AG3</f>
        <v>843</v>
      </c>
      <c r="AM3" s="7">
        <v>1359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1145637</v>
      </c>
      <c r="AU3" s="7"/>
      <c r="AV3" s="3" t="s">
        <v>9</v>
      </c>
      <c r="AW3" s="13">
        <f>AF7+AF10+AF13</f>
        <v>4579</v>
      </c>
      <c r="AX3" s="3"/>
    </row>
    <row r="4" spans="2:50" x14ac:dyDescent="0.25">
      <c r="D4" s="3"/>
      <c r="E4" s="3" t="s">
        <v>11</v>
      </c>
      <c r="F4" s="7">
        <v>319272.53999999998</v>
      </c>
      <c r="G4" s="7">
        <v>319678.14</v>
      </c>
      <c r="H4" s="7">
        <v>319678.14</v>
      </c>
      <c r="I4" s="7"/>
      <c r="J4" s="7"/>
      <c r="K4" s="12">
        <f t="shared" ref="K4:K6" si="0">G4-F4</f>
        <v>405.60000000003492</v>
      </c>
      <c r="L4" s="7">
        <v>1359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551210.4000000474</v>
      </c>
      <c r="T4" s="7"/>
      <c r="U4" s="3" t="s">
        <v>12</v>
      </c>
      <c r="V4" s="13">
        <f>E16</f>
        <v>253.13000000000466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319310</v>
      </c>
      <c r="AH4" s="7">
        <v>319715</v>
      </c>
      <c r="AI4" s="7">
        <v>319715</v>
      </c>
      <c r="AJ4" s="7"/>
      <c r="AK4" s="7"/>
      <c r="AL4" s="12">
        <f t="shared" ref="AL4:AL6" si="4">AH4-AG4</f>
        <v>405</v>
      </c>
      <c r="AM4" s="7">
        <v>1359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550395</v>
      </c>
      <c r="AU4" s="7"/>
      <c r="AV4" s="3" t="s">
        <v>12</v>
      </c>
      <c r="AW4" s="13">
        <f>AF16</f>
        <v>253</v>
      </c>
      <c r="AX4" s="3"/>
    </row>
    <row r="5" spans="2:50" x14ac:dyDescent="0.25">
      <c r="D5" s="4"/>
      <c r="E5" s="3" t="s">
        <v>14</v>
      </c>
      <c r="F5" s="7">
        <v>327050.86</v>
      </c>
      <c r="G5" s="7">
        <v>327479.63</v>
      </c>
      <c r="H5" s="7">
        <v>327479.63</v>
      </c>
      <c r="I5" s="7"/>
      <c r="J5" s="7"/>
      <c r="K5" s="12">
        <f t="shared" si="0"/>
        <v>428.77000000001863</v>
      </c>
      <c r="L5" s="7">
        <v>1359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582698.43000002531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327090</v>
      </c>
      <c r="AH5" s="7">
        <v>327519</v>
      </c>
      <c r="AI5" s="7">
        <v>327519</v>
      </c>
      <c r="AJ5" s="7"/>
      <c r="AK5" s="7"/>
      <c r="AL5" s="12">
        <f t="shared" si="4"/>
        <v>429</v>
      </c>
      <c r="AM5" s="7">
        <v>1359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583011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517222.02</v>
      </c>
      <c r="G6" s="7">
        <v>518016.16</v>
      </c>
      <c r="H6" s="7">
        <v>518016.16</v>
      </c>
      <c r="I6" s="7"/>
      <c r="J6" s="7"/>
      <c r="K6" s="12">
        <f t="shared" si="0"/>
        <v>794.13999999995576</v>
      </c>
      <c r="L6" s="7">
        <v>1359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1079236.2599999399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517261</v>
      </c>
      <c r="AH6" s="7">
        <v>518055</v>
      </c>
      <c r="AI6" s="7">
        <v>518055</v>
      </c>
      <c r="AJ6" s="7"/>
      <c r="AK6" s="7"/>
      <c r="AL6" s="12">
        <f t="shared" si="4"/>
        <v>794</v>
      </c>
      <c r="AM6" s="7">
        <v>1359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1079046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2471.4200000000419</v>
      </c>
      <c r="F7" s="3"/>
      <c r="G7" s="3"/>
      <c r="H7" s="3"/>
      <c r="I7" s="3"/>
      <c r="J7" s="3"/>
      <c r="K7" s="22">
        <f>SUM(K3:K6)</f>
        <v>2471.4200000000419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2471</v>
      </c>
      <c r="AG7" s="3"/>
      <c r="AH7" s="3"/>
      <c r="AI7" s="3"/>
      <c r="AJ7" s="3"/>
      <c r="AK7" s="3"/>
      <c r="AL7" s="22">
        <f>SUM(AL3:AL6)</f>
        <v>2471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377486.99</v>
      </c>
      <c r="G8" s="7">
        <v>378532.86</v>
      </c>
      <c r="H8" s="7">
        <v>378532.86</v>
      </c>
      <c r="I8" s="7"/>
      <c r="J8" s="7"/>
      <c r="K8" s="12">
        <f t="shared" ref="K8:K9" si="9">G8-F8</f>
        <v>1045.8699999999953</v>
      </c>
      <c r="L8" s="7">
        <v>1359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1421337.3299999936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491864</v>
      </c>
      <c r="AH8" s="7">
        <v>492910</v>
      </c>
      <c r="AI8" s="7">
        <v>492910</v>
      </c>
      <c r="AJ8" s="7"/>
      <c r="AK8" s="7"/>
      <c r="AL8" s="12">
        <f t="shared" ref="AL8:AL9" si="12">AH8-AG8</f>
        <v>1046</v>
      </c>
      <c r="AM8" s="7">
        <v>1359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1421514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/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/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1045.8699999999953</v>
      </c>
      <c r="F10" s="3"/>
      <c r="G10" s="3"/>
      <c r="H10" s="3"/>
      <c r="I10" s="3"/>
      <c r="J10" s="3"/>
      <c r="K10" s="22">
        <f>SUM(K8:K9)</f>
        <v>1045.8699999999953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1046</v>
      </c>
      <c r="AG10" s="3"/>
      <c r="AH10" s="3"/>
      <c r="AI10" s="3"/>
      <c r="AJ10" s="3"/>
      <c r="AK10" s="3"/>
      <c r="AL10" s="22">
        <f>SUM(AL8:AL9)</f>
        <v>1046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483062.52</v>
      </c>
      <c r="G11" s="7">
        <v>483653.96</v>
      </c>
      <c r="H11" s="7">
        <v>483653.96</v>
      </c>
      <c r="I11" s="7"/>
      <c r="J11" s="7"/>
      <c r="K11" s="12">
        <f t="shared" ref="K11:K14" si="17">G11-F11</f>
        <v>591.44000000000233</v>
      </c>
      <c r="L11" s="7">
        <v>1359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803766.96000000322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483099</v>
      </c>
      <c r="AH11" s="7">
        <v>483691</v>
      </c>
      <c r="AI11" s="7">
        <v>483691</v>
      </c>
      <c r="AJ11" s="7"/>
      <c r="AK11" s="7"/>
      <c r="AL11" s="12">
        <f t="shared" ref="AL11:AL12" si="20">AH11-AG11</f>
        <v>592</v>
      </c>
      <c r="AM11" s="7">
        <v>1359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804528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547565.01</v>
      </c>
      <c r="G12" s="7">
        <v>548035.06999999995</v>
      </c>
      <c r="H12" s="7">
        <v>548035.06999999995</v>
      </c>
      <c r="I12" s="7"/>
      <c r="J12" s="7"/>
      <c r="K12" s="12">
        <f t="shared" si="17"/>
        <v>470.05999999993946</v>
      </c>
      <c r="L12" s="7">
        <v>1359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638811.53999991773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547605</v>
      </c>
      <c r="AH12" s="7">
        <v>548075</v>
      </c>
      <c r="AI12" s="7">
        <v>548075</v>
      </c>
      <c r="AJ12" s="7"/>
      <c r="AK12" s="7"/>
      <c r="AL12" s="12">
        <f t="shared" si="20"/>
        <v>470</v>
      </c>
      <c r="AM12" s="7">
        <v>1359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638730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1061.4999999999418</v>
      </c>
      <c r="F13" s="3"/>
      <c r="G13" s="3"/>
      <c r="H13" s="3"/>
      <c r="I13" s="3"/>
      <c r="J13" s="3"/>
      <c r="K13" s="22">
        <f>SUM(K11:K12)</f>
        <v>1061.4999999999418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1062</v>
      </c>
      <c r="AG13" s="3"/>
      <c r="AH13" s="3"/>
      <c r="AI13" s="3"/>
      <c r="AJ13" s="3"/>
      <c r="AK13" s="3"/>
      <c r="AL13" s="22">
        <f>SUM(AL11:AL12)</f>
        <v>1062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470886.33</v>
      </c>
      <c r="G14" s="7">
        <v>471139.46</v>
      </c>
      <c r="H14" s="7">
        <v>471139.46</v>
      </c>
      <c r="I14" s="7"/>
      <c r="J14" s="7"/>
      <c r="K14" s="12">
        <f t="shared" si="17"/>
        <v>253.13000000000466</v>
      </c>
      <c r="L14" s="7">
        <v>1857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470062.41000000865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470916</v>
      </c>
      <c r="AH14" s="7">
        <v>471169</v>
      </c>
      <c r="AI14" s="7">
        <v>471169</v>
      </c>
      <c r="AJ14" s="7"/>
      <c r="AK14" s="7"/>
      <c r="AL14" s="12">
        <f t="shared" ref="AL14" si="24">AH14-AG14</f>
        <v>253</v>
      </c>
      <c r="AM14" s="7">
        <v>1857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469821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253.13000000000466</v>
      </c>
      <c r="F16" s="3"/>
      <c r="G16" s="3"/>
      <c r="H16" s="3"/>
      <c r="I16" s="7"/>
      <c r="K16" s="22">
        <f>SUM(K14:K15)</f>
        <v>253.13000000000466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253</v>
      </c>
      <c r="AG16" s="32"/>
      <c r="AH16" s="32"/>
      <c r="AI16" s="32"/>
      <c r="AJ16" s="7"/>
      <c r="AL16" s="22">
        <f>SUM(AL14:AL15)</f>
        <v>253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6692638.0199999809</v>
      </c>
      <c r="T17" s="4"/>
      <c r="U17" s="4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6692682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19750</v>
      </c>
      <c r="G20" s="35">
        <v>18800</v>
      </c>
      <c r="H20" s="36">
        <f>F20+V7-G20</f>
        <v>950</v>
      </c>
      <c r="I20" s="36">
        <f>E13-H20</f>
        <v>111.49999999994179</v>
      </c>
      <c r="J20" s="37">
        <f>E13*0.085</f>
        <v>90.227499999995061</v>
      </c>
      <c r="K20" s="38">
        <f>I20-J20</f>
        <v>21.272499999946731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19750</v>
      </c>
      <c r="AH20" s="35">
        <v>18800</v>
      </c>
      <c r="AI20" s="36">
        <f>AG20+AW7-AH20</f>
        <v>950</v>
      </c>
      <c r="AJ20" s="36">
        <f>AF13-AI20</f>
        <v>112</v>
      </c>
      <c r="AK20" s="37">
        <f>AF13*0.085</f>
        <v>90.27000000000001</v>
      </c>
      <c r="AL20" s="38">
        <f>AJ20-AK20</f>
        <v>21.72999999999999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18600</v>
      </c>
      <c r="G21" s="35">
        <v>16250</v>
      </c>
      <c r="H21" s="36">
        <f>F21+V8-G21</f>
        <v>2350</v>
      </c>
      <c r="I21" s="36">
        <f>E7-H21</f>
        <v>121.42000000004191</v>
      </c>
      <c r="J21" s="37">
        <f>E7*0.085</f>
        <v>210.07070000000357</v>
      </c>
      <c r="K21" s="38">
        <f>I21-J21</f>
        <v>-88.65069999996166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18600</v>
      </c>
      <c r="AH21" s="35">
        <v>16250</v>
      </c>
      <c r="AI21" s="36">
        <f>AG21+AW8-AH21</f>
        <v>2350</v>
      </c>
      <c r="AJ21" s="36">
        <f>AF7-AI21</f>
        <v>121</v>
      </c>
      <c r="AK21" s="37">
        <f>AF7*0.085</f>
        <v>210.03500000000003</v>
      </c>
      <c r="AL21" s="38">
        <f>AJ21-AK21</f>
        <v>-89.035000000000025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19200</v>
      </c>
      <c r="G22" s="35">
        <v>18200</v>
      </c>
      <c r="H22" s="36">
        <f>F22+V9-G22</f>
        <v>1000</v>
      </c>
      <c r="I22" s="36">
        <f>E10-H22</f>
        <v>45.869999999995343</v>
      </c>
      <c r="J22" s="37">
        <f>E10*0.085</f>
        <v>88.898949999999616</v>
      </c>
      <c r="K22" s="38">
        <f>I22-J22</f>
        <v>-43.028950000004272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19200</v>
      </c>
      <c r="AH22" s="35">
        <v>18200</v>
      </c>
      <c r="AI22" s="36">
        <f>AG22+AW9-AH22</f>
        <v>1000</v>
      </c>
      <c r="AJ22" s="36">
        <f>AF10-AI22</f>
        <v>46</v>
      </c>
      <c r="AK22" s="37">
        <f>AF10*0.085</f>
        <v>88.910000000000011</v>
      </c>
      <c r="AL22" s="38">
        <f>AJ22-AK22</f>
        <v>-42.910000000000011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17250</v>
      </c>
      <c r="G23" s="35">
        <v>17000</v>
      </c>
      <c r="H23" s="36">
        <f>F23+V10-G23</f>
        <v>250</v>
      </c>
      <c r="I23" s="36">
        <f>E16-H23</f>
        <v>3.1300000000046566</v>
      </c>
      <c r="J23" s="37">
        <f>E16*0.085</f>
        <v>21.516050000000398</v>
      </c>
      <c r="K23" s="38">
        <f>I23-J23</f>
        <v>-18.386049999995741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17250</v>
      </c>
      <c r="AH23" s="35">
        <v>17000</v>
      </c>
      <c r="AI23" s="36">
        <f>AG23+AW10-AH23</f>
        <v>250</v>
      </c>
      <c r="AJ23" s="36">
        <f>AF16-AI23</f>
        <v>3</v>
      </c>
      <c r="AK23" s="37">
        <f>AF16*0.085</f>
        <v>21.505000000000003</v>
      </c>
      <c r="AL23" s="38">
        <f>AJ23-AK23</f>
        <v>-18.505000000000003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0</v>
      </c>
      <c r="E26" s="17">
        <v>2469250</v>
      </c>
      <c r="F26" s="17">
        <v>0</v>
      </c>
      <c r="G26" s="46">
        <v>299500</v>
      </c>
      <c r="H26" s="46">
        <v>0</v>
      </c>
      <c r="I26" s="46">
        <v>4579490</v>
      </c>
      <c r="J26" s="46">
        <v>0</v>
      </c>
      <c r="K26" s="46">
        <v>0</v>
      </c>
      <c r="L26" s="46">
        <v>334100</v>
      </c>
      <c r="M26" s="46">
        <v>250212</v>
      </c>
      <c r="N26" s="46">
        <v>212500</v>
      </c>
      <c r="O26" s="46">
        <v>0</v>
      </c>
      <c r="P26" s="46">
        <v>469250</v>
      </c>
      <c r="Q26" s="46">
        <v>8061431.4400000004</v>
      </c>
      <c r="R26" s="47">
        <f>SUM(S17-W23-B26-C26-D26-E26-F26-G26-H26-I26-J26-K26-L26-M26-N26-O26-P26+Q26)</f>
        <v>6139767.4599999813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7" workbookViewId="0">
      <selection activeCell="K28" sqref="K28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3" customWidth="1"/>
    <col min="19" max="19" width="11.140625" bestFit="1" customWidth="1"/>
    <col min="23" max="23" width="9.5703125" bestFit="1" customWidth="1"/>
  </cols>
  <sheetData>
    <row r="1" spans="2:50" x14ac:dyDescent="0.25">
      <c r="B1" s="1">
        <v>46286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431091.89</v>
      </c>
      <c r="G3" s="7">
        <v>431914.68</v>
      </c>
      <c r="H3" s="7">
        <v>431914.68</v>
      </c>
      <c r="I3" s="7"/>
      <c r="J3" s="7"/>
      <c r="K3" s="12">
        <f>G3-F3</f>
        <v>822.78999999997905</v>
      </c>
      <c r="L3" s="7">
        <v>1359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1118171.6099999715</v>
      </c>
      <c r="T3" s="7"/>
      <c r="U3" s="3" t="s">
        <v>9</v>
      </c>
      <c r="V3" s="13">
        <f>E7+E10+E13</f>
        <v>4972.0900000000838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431125</v>
      </c>
      <c r="AH3" s="7">
        <v>431948</v>
      </c>
      <c r="AI3" s="7">
        <v>431948</v>
      </c>
      <c r="AJ3" s="7"/>
      <c r="AK3" s="7"/>
      <c r="AL3" s="12">
        <f>AH3-AG3</f>
        <v>823</v>
      </c>
      <c r="AM3" s="7">
        <v>1359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1118457</v>
      </c>
      <c r="AU3" s="7"/>
      <c r="AV3" s="3" t="s">
        <v>9</v>
      </c>
      <c r="AW3" s="13">
        <f>AF7+AF10+AF13</f>
        <v>4973</v>
      </c>
      <c r="AX3" s="3"/>
    </row>
    <row r="4" spans="2:50" x14ac:dyDescent="0.25">
      <c r="D4" s="3"/>
      <c r="E4" s="3" t="s">
        <v>11</v>
      </c>
      <c r="F4" s="7">
        <v>319678.14</v>
      </c>
      <c r="G4" s="7">
        <v>320085.33</v>
      </c>
      <c r="H4" s="7">
        <v>320085.33</v>
      </c>
      <c r="I4" s="7"/>
      <c r="J4" s="7"/>
      <c r="K4" s="12">
        <f t="shared" ref="K4:K6" si="0">G4-F4</f>
        <v>407.19000000000233</v>
      </c>
      <c r="L4" s="7">
        <v>1359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553371.21000000322</v>
      </c>
      <c r="T4" s="7"/>
      <c r="U4" s="3" t="s">
        <v>12</v>
      </c>
      <c r="V4" s="13">
        <f>E16</f>
        <v>443.09999999997672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319715</v>
      </c>
      <c r="AH4" s="7">
        <v>320123</v>
      </c>
      <c r="AI4" s="7">
        <v>320123</v>
      </c>
      <c r="AJ4" s="7"/>
      <c r="AK4" s="7"/>
      <c r="AL4" s="12">
        <f t="shared" ref="AL4:AL6" si="4">AH4-AG4</f>
        <v>408</v>
      </c>
      <c r="AM4" s="7">
        <v>1359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554472</v>
      </c>
      <c r="AU4" s="7"/>
      <c r="AV4" s="3" t="s">
        <v>12</v>
      </c>
      <c r="AW4" s="13">
        <f>AF16</f>
        <v>443</v>
      </c>
      <c r="AX4" s="3"/>
    </row>
    <row r="5" spans="2:50" x14ac:dyDescent="0.25">
      <c r="D5" s="4"/>
      <c r="E5" s="3" t="s">
        <v>14</v>
      </c>
      <c r="F5" s="7">
        <v>327479.63</v>
      </c>
      <c r="G5" s="7">
        <v>328061.27</v>
      </c>
      <c r="H5" s="7">
        <v>328061.27</v>
      </c>
      <c r="I5" s="7"/>
      <c r="J5" s="7"/>
      <c r="K5" s="12">
        <f t="shared" si="0"/>
        <v>581.64000000001397</v>
      </c>
      <c r="L5" s="7">
        <v>1359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790448.76000001899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327519</v>
      </c>
      <c r="AH5" s="7">
        <v>328100</v>
      </c>
      <c r="AI5" s="7">
        <v>328100</v>
      </c>
      <c r="AJ5" s="7"/>
      <c r="AK5" s="7"/>
      <c r="AL5" s="12">
        <f t="shared" si="4"/>
        <v>581</v>
      </c>
      <c r="AM5" s="7">
        <v>1359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789579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518016.16</v>
      </c>
      <c r="G6" s="7">
        <v>518943.48</v>
      </c>
      <c r="H6" s="7">
        <v>518943.48</v>
      </c>
      <c r="I6" s="7"/>
      <c r="J6" s="7"/>
      <c r="K6" s="12">
        <f t="shared" si="0"/>
        <v>927.32000000000698</v>
      </c>
      <c r="L6" s="7">
        <v>1359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1260227.8800000094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518055</v>
      </c>
      <c r="AH6" s="7">
        <v>518982</v>
      </c>
      <c r="AI6" s="7">
        <v>518982</v>
      </c>
      <c r="AJ6" s="7"/>
      <c r="AK6" s="7"/>
      <c r="AL6" s="12">
        <f t="shared" si="4"/>
        <v>927</v>
      </c>
      <c r="AM6" s="7">
        <v>1359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1259793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2738.9400000000023</v>
      </c>
      <c r="F7" s="3"/>
      <c r="G7" s="3"/>
      <c r="H7" s="3"/>
      <c r="I7" s="3"/>
      <c r="J7" s="3"/>
      <c r="K7" s="22">
        <f>SUM(K3:K6)</f>
        <v>2738.9400000000023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2739</v>
      </c>
      <c r="AG7" s="3"/>
      <c r="AH7" s="3"/>
      <c r="AI7" s="3"/>
      <c r="AJ7" s="3"/>
      <c r="AK7" s="3"/>
      <c r="AL7" s="22">
        <f>SUM(AL3:AL6)</f>
        <v>2739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378532.86</v>
      </c>
      <c r="G8" s="7">
        <v>379452.3</v>
      </c>
      <c r="H8" s="7">
        <v>379452.3</v>
      </c>
      <c r="I8" s="7"/>
      <c r="J8" s="7"/>
      <c r="K8" s="12">
        <f t="shared" ref="K8:K9" si="9">G8-F8</f>
        <v>919.44000000000233</v>
      </c>
      <c r="L8" s="7">
        <v>1359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1249518.9600000032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492910</v>
      </c>
      <c r="AH8" s="7">
        <v>493830</v>
      </c>
      <c r="AI8" s="7">
        <v>493830</v>
      </c>
      <c r="AJ8" s="7"/>
      <c r="AK8" s="7"/>
      <c r="AL8" s="12">
        <f t="shared" ref="AL8:AL9" si="12">AH8-AG8</f>
        <v>920</v>
      </c>
      <c r="AM8" s="7">
        <v>1359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1250280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/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/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919.44000000000233</v>
      </c>
      <c r="F10" s="3"/>
      <c r="G10" s="3"/>
      <c r="H10" s="3"/>
      <c r="I10" s="3"/>
      <c r="J10" s="3"/>
      <c r="K10" s="22">
        <f>SUM(K8:K9)</f>
        <v>919.44000000000233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920</v>
      </c>
      <c r="AG10" s="3"/>
      <c r="AH10" s="3"/>
      <c r="AI10" s="3"/>
      <c r="AJ10" s="3"/>
      <c r="AK10" s="3"/>
      <c r="AL10" s="22">
        <f>SUM(AL8:AL9)</f>
        <v>920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483653.96</v>
      </c>
      <c r="G11" s="7">
        <v>484077.08</v>
      </c>
      <c r="H11" s="7">
        <v>484077.08</v>
      </c>
      <c r="I11" s="7"/>
      <c r="J11" s="7"/>
      <c r="K11" s="12">
        <f t="shared" ref="K11:K14" si="17">G11-F11</f>
        <v>423.11999999999534</v>
      </c>
      <c r="L11" s="7">
        <v>1359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575020.07999999367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483691</v>
      </c>
      <c r="AH11" s="7">
        <v>484114</v>
      </c>
      <c r="AI11" s="7">
        <v>484114</v>
      </c>
      <c r="AJ11" s="7"/>
      <c r="AK11" s="7"/>
      <c r="AL11" s="12">
        <f t="shared" ref="AL11:AL12" si="20">AH11-AG11</f>
        <v>423</v>
      </c>
      <c r="AM11" s="7">
        <v>1359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574857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548035.06999999995</v>
      </c>
      <c r="G12" s="7">
        <v>548925.66</v>
      </c>
      <c r="H12" s="7">
        <v>548925.66</v>
      </c>
      <c r="I12" s="7"/>
      <c r="J12" s="7"/>
      <c r="K12" s="12">
        <f t="shared" si="17"/>
        <v>890.59000000008382</v>
      </c>
      <c r="L12" s="7">
        <v>1359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1210311.8100001139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548075</v>
      </c>
      <c r="AH12" s="7">
        <v>548966</v>
      </c>
      <c r="AI12" s="7">
        <v>548966</v>
      </c>
      <c r="AJ12" s="7"/>
      <c r="AK12" s="7"/>
      <c r="AL12" s="12">
        <f t="shared" si="20"/>
        <v>891</v>
      </c>
      <c r="AM12" s="7">
        <v>1359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1210869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1313.7100000000792</v>
      </c>
      <c r="F13" s="3"/>
      <c r="G13" s="3"/>
      <c r="H13" s="3"/>
      <c r="I13" s="3"/>
      <c r="J13" s="3"/>
      <c r="K13" s="22">
        <f>SUM(K11:K12)</f>
        <v>1313.7100000000792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 t="s">
        <v>60</v>
      </c>
      <c r="V13" s="3"/>
      <c r="W13" s="28">
        <v>213889.26</v>
      </c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1314</v>
      </c>
      <c r="AG13" s="3"/>
      <c r="AH13" s="3"/>
      <c r="AI13" s="3"/>
      <c r="AJ13" s="3"/>
      <c r="AK13" s="3"/>
      <c r="AL13" s="22">
        <f>SUM(AL11:AL12)</f>
        <v>1314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471139.46</v>
      </c>
      <c r="G14" s="7">
        <v>471582.56</v>
      </c>
      <c r="H14" s="7">
        <v>471582.56</v>
      </c>
      <c r="I14" s="7"/>
      <c r="J14" s="7"/>
      <c r="K14" s="12">
        <f t="shared" si="17"/>
        <v>443.09999999997672</v>
      </c>
      <c r="L14" s="7">
        <v>1857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822836.69999995676</v>
      </c>
      <c r="T14" s="7"/>
      <c r="U14" s="27" t="s">
        <v>61</v>
      </c>
      <c r="V14" s="3"/>
      <c r="W14" s="3">
        <v>206323.38</v>
      </c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471169</v>
      </c>
      <c r="AH14" s="7">
        <v>471612</v>
      </c>
      <c r="AI14" s="7">
        <v>471612</v>
      </c>
      <c r="AJ14" s="7"/>
      <c r="AK14" s="7"/>
      <c r="AL14" s="12">
        <f t="shared" ref="AL14" si="24">AH14-AG14</f>
        <v>443</v>
      </c>
      <c r="AM14" s="7">
        <v>1857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822651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 t="s">
        <v>62</v>
      </c>
      <c r="V15" s="3"/>
      <c r="W15" s="31">
        <v>346422.69</v>
      </c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443.09999999997672</v>
      </c>
      <c r="F16" s="3"/>
      <c r="G16" s="3"/>
      <c r="H16" s="3"/>
      <c r="I16" s="7"/>
      <c r="K16" s="22">
        <f>SUM(K14:K15)</f>
        <v>443.09999999997672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 t="s">
        <v>63</v>
      </c>
      <c r="V16" s="3"/>
      <c r="W16" s="3">
        <v>145304.28</v>
      </c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443</v>
      </c>
      <c r="AG16" s="32"/>
      <c r="AH16" s="32"/>
      <c r="AI16" s="32"/>
      <c r="AJ16" s="7"/>
      <c r="AL16" s="22">
        <f>SUM(AL14:AL15)</f>
        <v>443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7579907.0100000696</v>
      </c>
      <c r="T17" s="4"/>
      <c r="U17" s="3" t="s">
        <v>64</v>
      </c>
      <c r="W17" s="48">
        <v>215945.1</v>
      </c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7580958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18800</v>
      </c>
      <c r="G20" s="35">
        <v>17600</v>
      </c>
      <c r="H20" s="36">
        <f>F20+V7-G20</f>
        <v>1200</v>
      </c>
      <c r="I20" s="36">
        <f>E13-H20</f>
        <v>113.71000000007916</v>
      </c>
      <c r="J20" s="37">
        <f>E13*0.085</f>
        <v>111.66535000000674</v>
      </c>
      <c r="K20" s="38">
        <f>I20-J20</f>
        <v>2.0446500000724228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18800</v>
      </c>
      <c r="AH20" s="35">
        <v>17600</v>
      </c>
      <c r="AI20" s="36">
        <f>AG20+AW7-AH20</f>
        <v>1200</v>
      </c>
      <c r="AJ20" s="36">
        <f>AF13-AI20</f>
        <v>114</v>
      </c>
      <c r="AK20" s="37">
        <f>AF13*0.085</f>
        <v>111.69000000000001</v>
      </c>
      <c r="AL20" s="38">
        <f>AJ20-AK20</f>
        <v>2.3099999999999881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16250</v>
      </c>
      <c r="G21" s="35">
        <v>13900</v>
      </c>
      <c r="H21" s="36">
        <f>F21+V8-G21</f>
        <v>2350</v>
      </c>
      <c r="I21" s="36">
        <f>E7-H21</f>
        <v>388.94000000000233</v>
      </c>
      <c r="J21" s="37">
        <f>E7*0.085</f>
        <v>232.80990000000023</v>
      </c>
      <c r="K21" s="38">
        <f>I21-J21</f>
        <v>156.1301000000021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16250</v>
      </c>
      <c r="AH21" s="35">
        <v>13900</v>
      </c>
      <c r="AI21" s="36">
        <f>AG21+AW8-AH21</f>
        <v>2350</v>
      </c>
      <c r="AJ21" s="36">
        <f>AF7-AI21</f>
        <v>389</v>
      </c>
      <c r="AK21" s="37">
        <f>AF7*0.085</f>
        <v>232.81500000000003</v>
      </c>
      <c r="AL21" s="38">
        <f>AJ21-AK21</f>
        <v>156.18499999999997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18200</v>
      </c>
      <c r="G22" s="35">
        <v>17350</v>
      </c>
      <c r="H22" s="36">
        <f>F22+V9-G22</f>
        <v>850</v>
      </c>
      <c r="I22" s="36">
        <f>E10-H22</f>
        <v>69.440000000002328</v>
      </c>
      <c r="J22" s="37">
        <f>E10*0.085</f>
        <v>78.152400000000199</v>
      </c>
      <c r="K22" s="38">
        <f>I22-J22</f>
        <v>-8.7123999999978707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18200</v>
      </c>
      <c r="AH22" s="35">
        <v>17350</v>
      </c>
      <c r="AI22" s="36">
        <f>AG22+AW9-AH22</f>
        <v>850</v>
      </c>
      <c r="AJ22" s="36">
        <f>AF10-AI22</f>
        <v>70</v>
      </c>
      <c r="AK22" s="37">
        <f>AF10*0.085</f>
        <v>78.2</v>
      </c>
      <c r="AL22" s="38">
        <f>AJ22-AK22</f>
        <v>-8.2000000000000028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17000</v>
      </c>
      <c r="G23" s="35">
        <v>16650</v>
      </c>
      <c r="H23" s="36">
        <f>F23+V10-G23</f>
        <v>350</v>
      </c>
      <c r="I23" s="36">
        <f>E16-H23</f>
        <v>93.099999999976717</v>
      </c>
      <c r="J23" s="37">
        <f>E16*0.085</f>
        <v>37.663499999998024</v>
      </c>
      <c r="K23" s="38">
        <f>I23-J23</f>
        <v>55.436499999978693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1127884.7100000002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17000</v>
      </c>
      <c r="AH23" s="35">
        <v>16650</v>
      </c>
      <c r="AI23" s="36">
        <f>AG23+AW10-AH23</f>
        <v>350</v>
      </c>
      <c r="AJ23" s="36">
        <f>AF16-AI23</f>
        <v>93</v>
      </c>
      <c r="AK23" s="37">
        <f>AF16*0.085</f>
        <v>37.655000000000001</v>
      </c>
      <c r="AL23" s="38">
        <f>AJ23-AK23</f>
        <v>55.344999999999999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552768.88</v>
      </c>
      <c r="E26" s="17">
        <v>856300</v>
      </c>
      <c r="F26" s="17">
        <v>0</v>
      </c>
      <c r="G26" s="46">
        <v>0</v>
      </c>
      <c r="H26" s="46">
        <v>302500</v>
      </c>
      <c r="I26" s="46">
        <v>0</v>
      </c>
      <c r="J26" s="46">
        <v>4417769.43</v>
      </c>
      <c r="K26" s="46">
        <v>400516</v>
      </c>
      <c r="L26" s="46">
        <v>314140</v>
      </c>
      <c r="M26" s="46">
        <v>200000</v>
      </c>
      <c r="N26" s="46">
        <v>0</v>
      </c>
      <c r="O26" s="46">
        <v>0</v>
      </c>
      <c r="P26" s="46">
        <v>0</v>
      </c>
      <c r="Q26" s="46">
        <v>6139767.46</v>
      </c>
      <c r="R26" s="47">
        <f>SUM(S17-W23-B26-C26-D26-E26-F26-G26-H26-I26-J26-K26-L26-M26-N26-O26-P26+Q26)</f>
        <v>5547795.45000007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opLeftCell="A8" workbookViewId="0">
      <selection activeCell="R26" sqref="R26"/>
    </sheetView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3" customWidth="1"/>
    <col min="19" max="19" width="11.140625" bestFit="1" customWidth="1"/>
    <col min="23" max="23" width="9.5703125" bestFit="1" customWidth="1"/>
  </cols>
  <sheetData>
    <row r="1" spans="2:50" x14ac:dyDescent="0.25">
      <c r="B1" s="1">
        <v>46287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431914.68</v>
      </c>
      <c r="G3" s="7">
        <v>432685.64</v>
      </c>
      <c r="H3" s="7">
        <v>432685.64</v>
      </c>
      <c r="I3" s="7"/>
      <c r="J3" s="7"/>
      <c r="K3" s="12">
        <f>G3-F3</f>
        <v>770.96000000002095</v>
      </c>
      <c r="L3" s="7">
        <v>1359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1047734.6400000285</v>
      </c>
      <c r="T3" s="7"/>
      <c r="U3" s="3" t="s">
        <v>9</v>
      </c>
      <c r="V3" s="13">
        <f>E7+E10+E13</f>
        <v>4389.7699999999022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431948</v>
      </c>
      <c r="AH3" s="7">
        <v>432719</v>
      </c>
      <c r="AI3" s="7">
        <v>432719</v>
      </c>
      <c r="AJ3" s="7"/>
      <c r="AK3" s="7"/>
      <c r="AL3" s="12">
        <f>AH3-AG3</f>
        <v>771</v>
      </c>
      <c r="AM3" s="7">
        <v>1359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1047789</v>
      </c>
      <c r="AU3" s="7"/>
      <c r="AV3" s="3" t="s">
        <v>9</v>
      </c>
      <c r="AW3" s="13">
        <f>AF7+AF10+AF13</f>
        <v>4390</v>
      </c>
      <c r="AX3" s="3"/>
    </row>
    <row r="4" spans="2:50" x14ac:dyDescent="0.25">
      <c r="D4" s="3"/>
      <c r="E4" s="3" t="s">
        <v>11</v>
      </c>
      <c r="F4" s="7">
        <v>320085.33</v>
      </c>
      <c r="G4" s="7">
        <v>320532.03999999998</v>
      </c>
      <c r="H4" s="7">
        <v>320532.03999999998</v>
      </c>
      <c r="I4" s="7"/>
      <c r="J4" s="7"/>
      <c r="K4" s="12">
        <f t="shared" ref="K4:K6" si="0">G4-F4</f>
        <v>446.70999999996275</v>
      </c>
      <c r="L4" s="7">
        <v>1359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607078.88999994937</v>
      </c>
      <c r="T4" s="7"/>
      <c r="U4" s="3" t="s">
        <v>12</v>
      </c>
      <c r="V4" s="13">
        <f>E16</f>
        <v>446.19000000000233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320123</v>
      </c>
      <c r="AH4" s="7">
        <v>320569</v>
      </c>
      <c r="AI4" s="7">
        <v>320569</v>
      </c>
      <c r="AJ4" s="7"/>
      <c r="AK4" s="7"/>
      <c r="AL4" s="12">
        <f t="shared" ref="AL4:AL6" si="4">AH4-AG4</f>
        <v>446</v>
      </c>
      <c r="AM4" s="7">
        <v>1359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606114</v>
      </c>
      <c r="AU4" s="7"/>
      <c r="AV4" s="3" t="s">
        <v>12</v>
      </c>
      <c r="AW4" s="13">
        <f>AF16</f>
        <v>446</v>
      </c>
      <c r="AX4" s="3"/>
    </row>
    <row r="5" spans="2:50" x14ac:dyDescent="0.25">
      <c r="D5" s="4"/>
      <c r="E5" s="3" t="s">
        <v>14</v>
      </c>
      <c r="F5" s="7">
        <v>328061.27</v>
      </c>
      <c r="G5" s="7">
        <v>328481.56</v>
      </c>
      <c r="H5" s="7">
        <v>328481.56</v>
      </c>
      <c r="I5" s="7"/>
      <c r="J5" s="7"/>
      <c r="K5" s="12">
        <f t="shared" si="0"/>
        <v>420.28999999997905</v>
      </c>
      <c r="L5" s="7">
        <v>1359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571174.10999997146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328100</v>
      </c>
      <c r="AH5" s="7">
        <v>328521</v>
      </c>
      <c r="AI5" s="7">
        <v>328521</v>
      </c>
      <c r="AJ5" s="7"/>
      <c r="AK5" s="7"/>
      <c r="AL5" s="12">
        <f t="shared" si="4"/>
        <v>421</v>
      </c>
      <c r="AM5" s="7">
        <v>1359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572139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518943.48</v>
      </c>
      <c r="G6" s="7">
        <v>519712.91</v>
      </c>
      <c r="H6" s="7">
        <v>519712.91</v>
      </c>
      <c r="I6" s="7"/>
      <c r="J6" s="7"/>
      <c r="K6" s="12">
        <f t="shared" si="0"/>
        <v>769.42999999999302</v>
      </c>
      <c r="L6" s="7">
        <v>1359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1045655.3699999906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518982</v>
      </c>
      <c r="AH6" s="7">
        <v>519752</v>
      </c>
      <c r="AI6" s="7">
        <v>519752</v>
      </c>
      <c r="AJ6" s="7"/>
      <c r="AK6" s="7"/>
      <c r="AL6" s="12">
        <f t="shared" si="4"/>
        <v>770</v>
      </c>
      <c r="AM6" s="7">
        <v>1359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1046430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2407.3899999999558</v>
      </c>
      <c r="F7" s="3"/>
      <c r="G7" s="3"/>
      <c r="H7" s="3"/>
      <c r="I7" s="3"/>
      <c r="J7" s="3"/>
      <c r="K7" s="22">
        <f>SUM(K3:K6)</f>
        <v>2407.3899999999558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2408</v>
      </c>
      <c r="AG7" s="3"/>
      <c r="AH7" s="3"/>
      <c r="AI7" s="3"/>
      <c r="AJ7" s="3"/>
      <c r="AK7" s="3"/>
      <c r="AL7" s="22">
        <f>SUM(AL3:AL6)</f>
        <v>2408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379452.3</v>
      </c>
      <c r="G8" s="7">
        <v>380554.21</v>
      </c>
      <c r="H8" s="7">
        <v>380554.21</v>
      </c>
      <c r="I8" s="7"/>
      <c r="J8" s="7"/>
      <c r="K8" s="12">
        <f t="shared" ref="K8:K9" si="9">G8-F8</f>
        <v>1101.9100000000326</v>
      </c>
      <c r="L8" s="7">
        <v>1359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1497495.6900000442</v>
      </c>
      <c r="T8" s="7"/>
      <c r="U8" s="8" t="s">
        <v>11</v>
      </c>
      <c r="V8" s="23"/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493830</v>
      </c>
      <c r="AH8" s="7">
        <v>494932</v>
      </c>
      <c r="AI8" s="7">
        <v>494932</v>
      </c>
      <c r="AJ8" s="7"/>
      <c r="AK8" s="7"/>
      <c r="AL8" s="12">
        <f t="shared" ref="AL8:AL9" si="12">AH8-AG8</f>
        <v>1102</v>
      </c>
      <c r="AM8" s="7">
        <v>1359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1497618</v>
      </c>
      <c r="AU8" s="7"/>
      <c r="AV8" s="24" t="s">
        <v>11</v>
      </c>
      <c r="AW8" s="23"/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/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/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1101.9100000000326</v>
      </c>
      <c r="F10" s="3"/>
      <c r="G10" s="3"/>
      <c r="H10" s="3"/>
      <c r="I10" s="3"/>
      <c r="J10" s="3"/>
      <c r="K10" s="22">
        <f>SUM(K8:K9)</f>
        <v>1101.9100000000326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1102</v>
      </c>
      <c r="AG10" s="3"/>
      <c r="AH10" s="3"/>
      <c r="AI10" s="3"/>
      <c r="AJ10" s="3"/>
      <c r="AK10" s="3"/>
      <c r="AL10" s="22">
        <f>SUM(AL8:AL9)</f>
        <v>1102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484077.08</v>
      </c>
      <c r="G11" s="7">
        <v>484668.27</v>
      </c>
      <c r="H11" s="7">
        <v>484668.27</v>
      </c>
      <c r="I11" s="7"/>
      <c r="J11" s="7"/>
      <c r="K11" s="12">
        <f t="shared" ref="K11:K14" si="17">G11-F11</f>
        <v>591.19000000000233</v>
      </c>
      <c r="L11" s="7">
        <v>1359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803427.21000000322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484114</v>
      </c>
      <c r="AH11" s="7">
        <v>484705</v>
      </c>
      <c r="AI11" s="7">
        <v>484705</v>
      </c>
      <c r="AJ11" s="7"/>
      <c r="AK11" s="7"/>
      <c r="AL11" s="12">
        <f t="shared" ref="AL11:AL12" si="20">AH11-AG11</f>
        <v>591</v>
      </c>
      <c r="AM11" s="7">
        <v>1359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803169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548925.66</v>
      </c>
      <c r="G12" s="7">
        <v>549214.93999999994</v>
      </c>
      <c r="H12" s="7">
        <v>549214.93999999994</v>
      </c>
      <c r="I12" s="7"/>
      <c r="J12" s="7"/>
      <c r="K12" s="12">
        <f t="shared" si="17"/>
        <v>289.27999999991152</v>
      </c>
      <c r="L12" s="7">
        <v>1359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393131.51999987976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548966</v>
      </c>
      <c r="AH12" s="7">
        <v>549255</v>
      </c>
      <c r="AI12" s="7">
        <v>549255</v>
      </c>
      <c r="AJ12" s="7"/>
      <c r="AK12" s="7"/>
      <c r="AL12" s="12">
        <f t="shared" si="20"/>
        <v>289</v>
      </c>
      <c r="AM12" s="7">
        <v>1359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392751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880.46999999991385</v>
      </c>
      <c r="F13" s="3"/>
      <c r="G13" s="3"/>
      <c r="H13" s="3"/>
      <c r="I13" s="3"/>
      <c r="J13" s="3"/>
      <c r="K13" s="22">
        <f>SUM(K11:K12)</f>
        <v>880.46999999991385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880</v>
      </c>
      <c r="AG13" s="3"/>
      <c r="AH13" s="3"/>
      <c r="AI13" s="3"/>
      <c r="AJ13" s="3"/>
      <c r="AK13" s="3"/>
      <c r="AL13" s="22">
        <f>SUM(AL11:AL12)</f>
        <v>880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471582.56</v>
      </c>
      <c r="G14" s="7">
        <v>472028.75</v>
      </c>
      <c r="H14" s="7">
        <v>472028.75</v>
      </c>
      <c r="I14" s="7"/>
      <c r="J14" s="7"/>
      <c r="K14" s="12">
        <f t="shared" si="17"/>
        <v>446.19000000000233</v>
      </c>
      <c r="L14" s="7">
        <v>1857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828574.83000000427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471612</v>
      </c>
      <c r="AH14" s="7">
        <v>472058</v>
      </c>
      <c r="AI14" s="7">
        <v>472058</v>
      </c>
      <c r="AJ14" s="7"/>
      <c r="AK14" s="7"/>
      <c r="AL14" s="12">
        <f t="shared" ref="AL14" si="24">AH14-AG14</f>
        <v>446</v>
      </c>
      <c r="AM14" s="7">
        <v>1857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828222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446.19000000000233</v>
      </c>
      <c r="F16" s="3"/>
      <c r="G16" s="3"/>
      <c r="H16" s="3"/>
      <c r="I16" s="7"/>
      <c r="K16" s="22">
        <f>SUM(K14:K15)</f>
        <v>446.19000000000233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446</v>
      </c>
      <c r="AG16" s="32"/>
      <c r="AH16" s="32"/>
      <c r="AI16" s="32"/>
      <c r="AJ16" s="7"/>
      <c r="AL16" s="22">
        <f>SUM(AL14:AL15)</f>
        <v>446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6794272.2599998713</v>
      </c>
      <c r="T17" s="4"/>
      <c r="U17" s="3"/>
      <c r="W17" s="48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6794232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17600</v>
      </c>
      <c r="G20" s="35">
        <v>16700</v>
      </c>
      <c r="H20" s="36">
        <f>F20+V7-G20</f>
        <v>900</v>
      </c>
      <c r="I20" s="36">
        <f>E13-H20</f>
        <v>-19.530000000086147</v>
      </c>
      <c r="J20" s="37">
        <f>E13*0.085</f>
        <v>74.839949999992683</v>
      </c>
      <c r="K20" s="38">
        <f>I20-J20</f>
        <v>-94.36995000007883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17600</v>
      </c>
      <c r="AH20" s="35">
        <v>16700</v>
      </c>
      <c r="AI20" s="36">
        <f>AG20+AW7-AH20</f>
        <v>900</v>
      </c>
      <c r="AJ20" s="36">
        <f>AF13-AI20</f>
        <v>-20</v>
      </c>
      <c r="AK20" s="37">
        <f>AF13*0.085</f>
        <v>74.800000000000011</v>
      </c>
      <c r="AL20" s="38">
        <f>AJ20-AK20</f>
        <v>-94.800000000000011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13900</v>
      </c>
      <c r="G21" s="35">
        <v>11650</v>
      </c>
      <c r="H21" s="36">
        <f>F21+V8-G21</f>
        <v>2250</v>
      </c>
      <c r="I21" s="36">
        <f>E7-H21</f>
        <v>157.38999999995576</v>
      </c>
      <c r="J21" s="37">
        <f>E7*0.085</f>
        <v>204.62814999999625</v>
      </c>
      <c r="K21" s="38">
        <f>I21-J21</f>
        <v>-47.238150000040491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13900</v>
      </c>
      <c r="AH21" s="35">
        <v>11650</v>
      </c>
      <c r="AI21" s="36">
        <f>AG21+AW8-AH21</f>
        <v>2250</v>
      </c>
      <c r="AJ21" s="36">
        <f>AF7-AI21</f>
        <v>158</v>
      </c>
      <c r="AK21" s="37">
        <f>AF7*0.085</f>
        <v>204.68</v>
      </c>
      <c r="AL21" s="38">
        <f>AJ21-AK21</f>
        <v>-46.680000000000007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17350</v>
      </c>
      <c r="G22" s="35">
        <v>16350</v>
      </c>
      <c r="H22" s="36">
        <f>F22+V9-G22</f>
        <v>1000</v>
      </c>
      <c r="I22" s="36">
        <f>E10-H22</f>
        <v>101.9100000000326</v>
      </c>
      <c r="J22" s="37">
        <f>E10*0.085</f>
        <v>93.662350000002775</v>
      </c>
      <c r="K22" s="38">
        <f>I22-J22</f>
        <v>8.2476500000298216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17350</v>
      </c>
      <c r="AH22" s="35">
        <v>16350</v>
      </c>
      <c r="AI22" s="36">
        <f>AG22+AW9-AH22</f>
        <v>1000</v>
      </c>
      <c r="AJ22" s="36">
        <f>AF10-AI22</f>
        <v>102</v>
      </c>
      <c r="AK22" s="37">
        <f>AF10*0.085</f>
        <v>93.67</v>
      </c>
      <c r="AL22" s="38">
        <f>AJ22-AK22</f>
        <v>8.3299999999999983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16650</v>
      </c>
      <c r="G23" s="35">
        <v>16300</v>
      </c>
      <c r="H23" s="36">
        <f>F23+V10-G23</f>
        <v>350</v>
      </c>
      <c r="I23" s="36">
        <f>E16-H23</f>
        <v>96.190000000002328</v>
      </c>
      <c r="J23" s="37">
        <f>E16*0.085</f>
        <v>37.926150000000199</v>
      </c>
      <c r="K23" s="38">
        <f>I23-J23</f>
        <v>58.26385000000213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16650</v>
      </c>
      <c r="AH23" s="35">
        <v>16300</v>
      </c>
      <c r="AI23" s="36">
        <f>AG23+AW10-AH23</f>
        <v>350</v>
      </c>
      <c r="AJ23" s="36">
        <f>AF16-AI23</f>
        <v>96</v>
      </c>
      <c r="AK23" s="37">
        <f>AF16*0.085</f>
        <v>37.910000000000004</v>
      </c>
      <c r="AL23" s="38">
        <f>AJ23-AK23</f>
        <v>58.089999999999996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0</v>
      </c>
      <c r="E26" s="17">
        <v>1310800</v>
      </c>
      <c r="F26" s="17">
        <v>0</v>
      </c>
      <c r="G26" s="46">
        <v>262300</v>
      </c>
      <c r="H26" s="46">
        <v>0</v>
      </c>
      <c r="I26" s="46">
        <v>3442037</v>
      </c>
      <c r="J26" s="46">
        <v>0</v>
      </c>
      <c r="K26" s="46">
        <v>0</v>
      </c>
      <c r="L26" s="46">
        <v>352955</v>
      </c>
      <c r="M26" s="46">
        <v>587690</v>
      </c>
      <c r="N26" s="46">
        <v>421800</v>
      </c>
      <c r="O26" s="46">
        <v>0</v>
      </c>
      <c r="P26" s="46">
        <v>656933.52</v>
      </c>
      <c r="Q26" s="46">
        <v>5547795.4500000002</v>
      </c>
      <c r="R26" s="47">
        <f>SUM(S17-W23-B26-C26-D26-E26-F26-G26-H26-I26-J26-K26-L26-M26-N26-O26-P26+Q26)</f>
        <v>5307552.189999871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6"/>
  <sheetViews>
    <sheetView tabSelected="1" workbookViewId="0"/>
  </sheetViews>
  <sheetFormatPr defaultRowHeight="15" x14ac:dyDescent="0.25"/>
  <cols>
    <col min="2" max="2" width="9.7109375" bestFit="1" customWidth="1"/>
    <col min="5" max="5" width="10" bestFit="1" customWidth="1"/>
    <col min="9" max="10" width="10" bestFit="1" customWidth="1"/>
    <col min="17" max="17" width="10" bestFit="1" customWidth="1"/>
    <col min="18" max="18" width="13" customWidth="1"/>
    <col min="19" max="19" width="11.140625" bestFit="1" customWidth="1"/>
    <col min="23" max="23" width="9.5703125" bestFit="1" customWidth="1"/>
  </cols>
  <sheetData>
    <row r="1" spans="2:50" x14ac:dyDescent="0.25">
      <c r="B1" s="1">
        <v>46288</v>
      </c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3"/>
      <c r="X1" s="4"/>
      <c r="Y1" s="4"/>
      <c r="Z1" s="5"/>
      <c r="AA1" s="4"/>
      <c r="AB1" s="4"/>
      <c r="AC1" s="4"/>
      <c r="AD1" s="4"/>
      <c r="AE1" s="5"/>
      <c r="AF1" s="2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X1" s="3"/>
    </row>
    <row r="2" spans="2:50" x14ac:dyDescent="0.25">
      <c r="D2" s="3"/>
      <c r="E2" s="3"/>
      <c r="F2" s="6" t="s">
        <v>1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3</v>
      </c>
      <c r="L2" s="6" t="s">
        <v>4</v>
      </c>
      <c r="M2" s="6" t="s">
        <v>3</v>
      </c>
      <c r="N2" s="6" t="s">
        <v>4</v>
      </c>
      <c r="O2" s="6" t="s">
        <v>3</v>
      </c>
      <c r="P2" s="6" t="s">
        <v>4</v>
      </c>
      <c r="Q2" s="6" t="s">
        <v>3</v>
      </c>
      <c r="R2" s="6" t="s">
        <v>4</v>
      </c>
      <c r="S2" s="6" t="s">
        <v>5</v>
      </c>
      <c r="T2" s="7"/>
      <c r="U2" s="8" t="s">
        <v>3</v>
      </c>
      <c r="V2" s="3"/>
      <c r="W2" s="3"/>
      <c r="X2" s="4"/>
      <c r="Y2" s="9" t="s">
        <v>6</v>
      </c>
      <c r="Z2" s="9"/>
      <c r="AA2" s="4"/>
      <c r="AB2" s="10" t="s">
        <v>7</v>
      </c>
      <c r="AC2" s="11" t="s">
        <v>5</v>
      </c>
      <c r="AD2" s="11"/>
      <c r="AE2" s="3"/>
      <c r="AF2" s="3"/>
      <c r="AG2" s="6" t="s">
        <v>1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3</v>
      </c>
      <c r="AM2" s="6" t="s">
        <v>4</v>
      </c>
      <c r="AN2" s="6" t="s">
        <v>3</v>
      </c>
      <c r="AO2" s="6" t="s">
        <v>4</v>
      </c>
      <c r="AP2" s="6" t="s">
        <v>3</v>
      </c>
      <c r="AQ2" s="6" t="s">
        <v>4</v>
      </c>
      <c r="AR2" s="6" t="s">
        <v>3</v>
      </c>
      <c r="AS2" s="6" t="s">
        <v>4</v>
      </c>
      <c r="AT2" s="6" t="s">
        <v>5</v>
      </c>
      <c r="AU2" s="7"/>
      <c r="AV2" s="8" t="s">
        <v>3</v>
      </c>
      <c r="AW2" s="3"/>
      <c r="AX2" s="3"/>
    </row>
    <row r="3" spans="2:50" x14ac:dyDescent="0.25">
      <c r="D3" s="3"/>
      <c r="E3" s="3" t="s">
        <v>8</v>
      </c>
      <c r="F3" s="7">
        <v>432685.64</v>
      </c>
      <c r="G3" s="7">
        <v>433189.41</v>
      </c>
      <c r="H3" s="7">
        <v>433189.41</v>
      </c>
      <c r="I3" s="7"/>
      <c r="J3" s="7"/>
      <c r="K3" s="12">
        <f>G3-F3</f>
        <v>503.76999999996042</v>
      </c>
      <c r="L3" s="7">
        <v>1359</v>
      </c>
      <c r="M3" s="12">
        <f>H3-G3</f>
        <v>0</v>
      </c>
      <c r="N3" s="7"/>
      <c r="O3" s="12">
        <f>I3</f>
        <v>0</v>
      </c>
      <c r="P3" s="7"/>
      <c r="Q3" s="12">
        <f>J3-I3</f>
        <v>0</v>
      </c>
      <c r="R3" s="7"/>
      <c r="S3" s="12">
        <f>(K3*L3)+(M3*N3)+(O3*P3)+(Q3*R3)</f>
        <v>684623.42999994615</v>
      </c>
      <c r="T3" s="7"/>
      <c r="U3" s="3" t="s">
        <v>9</v>
      </c>
      <c r="V3" s="13">
        <f>E7+E10+E13</f>
        <v>3810.0600000000559</v>
      </c>
      <c r="W3" s="3"/>
      <c r="X3" s="4"/>
      <c r="Y3" s="14" t="s">
        <v>10</v>
      </c>
      <c r="Z3" s="15"/>
      <c r="AA3" s="4"/>
      <c r="AB3" s="4"/>
      <c r="AC3" s="16"/>
      <c r="AD3" s="3"/>
      <c r="AE3" s="3"/>
      <c r="AF3" s="3" t="s">
        <v>8</v>
      </c>
      <c r="AG3" s="7">
        <v>432719</v>
      </c>
      <c r="AH3" s="7">
        <v>433222</v>
      </c>
      <c r="AI3" s="7">
        <v>433222</v>
      </c>
      <c r="AJ3" s="7"/>
      <c r="AK3" s="7"/>
      <c r="AL3" s="12">
        <f>AH3-AG3</f>
        <v>503</v>
      </c>
      <c r="AM3" s="7">
        <v>1359</v>
      </c>
      <c r="AN3" s="12">
        <f>AI3-AH3</f>
        <v>0</v>
      </c>
      <c r="AO3" s="7"/>
      <c r="AP3" s="12">
        <f>AJ3</f>
        <v>0</v>
      </c>
      <c r="AQ3" s="7"/>
      <c r="AR3" s="12">
        <f>AK3-AJ3</f>
        <v>0</v>
      </c>
      <c r="AS3" s="7"/>
      <c r="AT3" s="12">
        <f>(AL3*AM3)+(AN3*AO3)+(AP3*AQ3)+(AR3*AS3)</f>
        <v>683577</v>
      </c>
      <c r="AU3" s="7"/>
      <c r="AV3" s="3" t="s">
        <v>9</v>
      </c>
      <c r="AW3" s="13">
        <f>AF7+AF10+AF13</f>
        <v>3809</v>
      </c>
      <c r="AX3" s="3"/>
    </row>
    <row r="4" spans="2:50" x14ac:dyDescent="0.25">
      <c r="D4" s="3"/>
      <c r="E4" s="3" t="s">
        <v>11</v>
      </c>
      <c r="F4" s="7">
        <v>320532.03999999998</v>
      </c>
      <c r="G4" s="7">
        <v>321046.65000000002</v>
      </c>
      <c r="H4" s="7">
        <v>321046.65000000002</v>
      </c>
      <c r="I4" s="7"/>
      <c r="J4" s="7"/>
      <c r="K4" s="12">
        <f t="shared" ref="K4:K6" si="0">G4-F4</f>
        <v>514.61000000004424</v>
      </c>
      <c r="L4" s="7">
        <v>1359</v>
      </c>
      <c r="M4" s="12">
        <f t="shared" ref="M4:M6" si="1">H4-G4</f>
        <v>0</v>
      </c>
      <c r="N4" s="7"/>
      <c r="O4" s="12">
        <f>I4</f>
        <v>0</v>
      </c>
      <c r="P4" s="7"/>
      <c r="Q4" s="12">
        <f t="shared" ref="Q4:Q6" si="2">J4-I4</f>
        <v>0</v>
      </c>
      <c r="R4" s="7"/>
      <c r="S4" s="12">
        <f t="shared" ref="S4:S14" si="3">(K4*L4)+(M4*N4)+(O4*P4)+(Q4*R4)</f>
        <v>699354.99000006006</v>
      </c>
      <c r="T4" s="7"/>
      <c r="U4" s="3" t="s">
        <v>12</v>
      </c>
      <c r="V4" s="13">
        <f>E16</f>
        <v>229.67999999999302</v>
      </c>
      <c r="W4" s="3"/>
      <c r="X4" s="4"/>
      <c r="Y4" s="14" t="s">
        <v>13</v>
      </c>
      <c r="Z4" s="17"/>
      <c r="AA4" s="4"/>
      <c r="AB4" s="4"/>
      <c r="AC4" s="18"/>
      <c r="AD4" s="3"/>
      <c r="AE4" s="3"/>
      <c r="AF4" s="3" t="s">
        <v>11</v>
      </c>
      <c r="AG4" s="7">
        <v>320569</v>
      </c>
      <c r="AH4" s="7">
        <v>321084</v>
      </c>
      <c r="AI4" s="7">
        <v>321084</v>
      </c>
      <c r="AJ4" s="7"/>
      <c r="AK4" s="7"/>
      <c r="AL4" s="12">
        <f t="shared" ref="AL4:AL6" si="4">AH4-AG4</f>
        <v>515</v>
      </c>
      <c r="AM4" s="7">
        <v>1359</v>
      </c>
      <c r="AN4" s="12">
        <f t="shared" ref="AN4:AN6" si="5">AI4-AH4</f>
        <v>0</v>
      </c>
      <c r="AO4" s="7"/>
      <c r="AP4" s="12">
        <f t="shared" ref="AP4:AP14" si="6">AJ4</f>
        <v>0</v>
      </c>
      <c r="AQ4" s="7"/>
      <c r="AR4" s="12">
        <f t="shared" ref="AR4:AR6" si="7">AK4-AJ4</f>
        <v>0</v>
      </c>
      <c r="AS4" s="7"/>
      <c r="AT4" s="12">
        <f t="shared" ref="AT4:AT6" si="8">(AL4*AM4)+(AN4*AO4)+(AP4*AQ4)+(AR4*AS4)</f>
        <v>699885</v>
      </c>
      <c r="AU4" s="7"/>
      <c r="AV4" s="3" t="s">
        <v>12</v>
      </c>
      <c r="AW4" s="13">
        <f>AF16</f>
        <v>230</v>
      </c>
      <c r="AX4" s="3"/>
    </row>
    <row r="5" spans="2:50" x14ac:dyDescent="0.25">
      <c r="D5" s="4"/>
      <c r="E5" s="3" t="s">
        <v>14</v>
      </c>
      <c r="F5" s="7">
        <v>328481.56</v>
      </c>
      <c r="G5" s="7">
        <v>328705.38</v>
      </c>
      <c r="H5" s="7">
        <v>328705.38</v>
      </c>
      <c r="I5" s="7"/>
      <c r="J5" s="7"/>
      <c r="K5" s="12">
        <f t="shared" si="0"/>
        <v>223.82000000000698</v>
      </c>
      <c r="L5" s="7">
        <v>1359</v>
      </c>
      <c r="M5" s="12">
        <f t="shared" si="1"/>
        <v>0</v>
      </c>
      <c r="N5" s="7"/>
      <c r="O5" s="12">
        <f>I5</f>
        <v>0</v>
      </c>
      <c r="P5" s="7"/>
      <c r="Q5" s="12">
        <f t="shared" si="2"/>
        <v>0</v>
      </c>
      <c r="R5" s="7"/>
      <c r="S5" s="12">
        <f t="shared" si="3"/>
        <v>304171.38000000949</v>
      </c>
      <c r="T5" s="7"/>
      <c r="U5" s="3"/>
      <c r="V5" s="3"/>
      <c r="W5" s="3"/>
      <c r="X5" s="4"/>
      <c r="Y5" s="14" t="s">
        <v>15</v>
      </c>
      <c r="Z5" s="19"/>
      <c r="AA5" s="4"/>
      <c r="AB5" s="4"/>
      <c r="AC5" s="18"/>
      <c r="AD5" s="3"/>
      <c r="AE5" s="4"/>
      <c r="AF5" s="3" t="s">
        <v>14</v>
      </c>
      <c r="AG5" s="7">
        <v>328521</v>
      </c>
      <c r="AH5" s="7">
        <v>328744</v>
      </c>
      <c r="AI5" s="7">
        <v>328744</v>
      </c>
      <c r="AJ5" s="7"/>
      <c r="AK5" s="7"/>
      <c r="AL5" s="12">
        <f t="shared" si="4"/>
        <v>223</v>
      </c>
      <c r="AM5" s="7">
        <v>1359</v>
      </c>
      <c r="AN5" s="12">
        <f t="shared" si="5"/>
        <v>0</v>
      </c>
      <c r="AO5" s="7"/>
      <c r="AP5" s="12">
        <f t="shared" si="6"/>
        <v>0</v>
      </c>
      <c r="AQ5" s="7"/>
      <c r="AR5" s="12">
        <f t="shared" si="7"/>
        <v>0</v>
      </c>
      <c r="AS5" s="7"/>
      <c r="AT5" s="12">
        <f t="shared" si="8"/>
        <v>303057</v>
      </c>
      <c r="AU5" s="7"/>
      <c r="AV5" s="3"/>
      <c r="AW5" s="3"/>
      <c r="AX5" s="3"/>
    </row>
    <row r="6" spans="2:50" x14ac:dyDescent="0.25">
      <c r="D6" s="4"/>
      <c r="E6" s="3" t="s">
        <v>16</v>
      </c>
      <c r="F6" s="7">
        <v>519712.91</v>
      </c>
      <c r="G6" s="7">
        <v>520335.69</v>
      </c>
      <c r="H6" s="7">
        <v>520335.69</v>
      </c>
      <c r="I6" s="7"/>
      <c r="J6" s="7"/>
      <c r="K6" s="12">
        <f t="shared" si="0"/>
        <v>622.78000000002794</v>
      </c>
      <c r="L6" s="7">
        <v>1359</v>
      </c>
      <c r="M6" s="12">
        <f t="shared" si="1"/>
        <v>0</v>
      </c>
      <c r="N6" s="7"/>
      <c r="O6" s="12">
        <f>I6</f>
        <v>0</v>
      </c>
      <c r="P6" s="7"/>
      <c r="Q6" s="12">
        <f t="shared" si="2"/>
        <v>0</v>
      </c>
      <c r="R6" s="7"/>
      <c r="S6" s="12">
        <f t="shared" si="3"/>
        <v>846358.02000003797</v>
      </c>
      <c r="T6" s="7"/>
      <c r="U6" s="8" t="s">
        <v>17</v>
      </c>
      <c r="V6" s="8"/>
      <c r="W6" s="3"/>
      <c r="X6" s="4"/>
      <c r="Y6" s="14" t="s">
        <v>18</v>
      </c>
      <c r="Z6" s="20"/>
      <c r="AA6" s="4"/>
      <c r="AB6" s="4"/>
      <c r="AC6" s="3"/>
      <c r="AD6" s="3"/>
      <c r="AE6" s="4"/>
      <c r="AF6" s="3" t="s">
        <v>16</v>
      </c>
      <c r="AG6" s="7">
        <v>519752</v>
      </c>
      <c r="AH6" s="7">
        <v>520375</v>
      </c>
      <c r="AI6" s="7">
        <v>520375</v>
      </c>
      <c r="AJ6" s="7"/>
      <c r="AK6" s="7"/>
      <c r="AL6" s="12">
        <f t="shared" si="4"/>
        <v>623</v>
      </c>
      <c r="AM6" s="7">
        <v>1359</v>
      </c>
      <c r="AN6" s="12">
        <f t="shared" si="5"/>
        <v>0</v>
      </c>
      <c r="AO6" s="7"/>
      <c r="AP6" s="12">
        <f t="shared" si="6"/>
        <v>0</v>
      </c>
      <c r="AQ6" s="7"/>
      <c r="AR6" s="12">
        <f t="shared" si="7"/>
        <v>0</v>
      </c>
      <c r="AS6" s="7"/>
      <c r="AT6" s="12">
        <f t="shared" si="8"/>
        <v>846657</v>
      </c>
      <c r="AU6" s="7"/>
      <c r="AV6" s="8" t="s">
        <v>17</v>
      </c>
      <c r="AW6" s="8"/>
      <c r="AX6" s="3"/>
    </row>
    <row r="7" spans="2:50" x14ac:dyDescent="0.25">
      <c r="D7" s="21" t="s">
        <v>19</v>
      </c>
      <c r="E7" s="2">
        <f>K7+M7+O7+Q7</f>
        <v>1864.9800000000396</v>
      </c>
      <c r="F7" s="3"/>
      <c r="G7" s="3"/>
      <c r="H7" s="3"/>
      <c r="I7" s="3"/>
      <c r="J7" s="3"/>
      <c r="K7" s="22">
        <f>SUM(K3:K6)</f>
        <v>1864.9800000000396</v>
      </c>
      <c r="L7" s="7"/>
      <c r="M7" s="22">
        <f>SUM(M3:M6)</f>
        <v>0</v>
      </c>
      <c r="N7" s="7"/>
      <c r="O7" s="22">
        <f>SUM(O3:O6)</f>
        <v>0</v>
      </c>
      <c r="P7" s="7"/>
      <c r="Q7" s="22">
        <f>SUM(Q3:Q6)</f>
        <v>0</v>
      </c>
      <c r="R7" s="7"/>
      <c r="S7" s="12"/>
      <c r="T7" s="7"/>
      <c r="U7" s="8" t="s">
        <v>20</v>
      </c>
      <c r="V7" s="23"/>
      <c r="W7" s="3"/>
      <c r="X7" s="4"/>
      <c r="Y7" s="4"/>
      <c r="Z7" s="4"/>
      <c r="AA7" s="4"/>
      <c r="AB7" s="4"/>
      <c r="AC7" s="3"/>
      <c r="AD7" s="3"/>
      <c r="AE7" s="21" t="s">
        <v>19</v>
      </c>
      <c r="AF7" s="2">
        <f>AL7+AN7+AP7+AR7</f>
        <v>1864</v>
      </c>
      <c r="AG7" s="3"/>
      <c r="AH7" s="3"/>
      <c r="AI7" s="3"/>
      <c r="AJ7" s="3"/>
      <c r="AK7" s="3"/>
      <c r="AL7" s="22">
        <f>SUM(AL3:AL6)</f>
        <v>1864</v>
      </c>
      <c r="AM7" s="7"/>
      <c r="AN7" s="22">
        <f>SUM(AN3:AN6)</f>
        <v>0</v>
      </c>
      <c r="AO7" s="7"/>
      <c r="AP7" s="22">
        <f>SUM(AP3:AP6)</f>
        <v>0</v>
      </c>
      <c r="AQ7" s="7"/>
      <c r="AR7" s="22">
        <f>SUM(AR3:AR6)</f>
        <v>0</v>
      </c>
      <c r="AS7" s="7"/>
      <c r="AT7" s="12"/>
      <c r="AU7" s="7"/>
      <c r="AV7" s="24" t="s">
        <v>20</v>
      </c>
      <c r="AW7" s="23"/>
      <c r="AX7" s="3"/>
    </row>
    <row r="8" spans="2:50" x14ac:dyDescent="0.25">
      <c r="D8" s="21"/>
      <c r="E8" s="3" t="s">
        <v>21</v>
      </c>
      <c r="F8" s="7">
        <v>380554.21</v>
      </c>
      <c r="G8" s="7">
        <v>381586.67</v>
      </c>
      <c r="H8" s="7">
        <v>381586.67</v>
      </c>
      <c r="I8" s="7"/>
      <c r="J8" s="7"/>
      <c r="K8" s="12">
        <f t="shared" ref="K8:K9" si="9">G8-F8</f>
        <v>1032.4599999999627</v>
      </c>
      <c r="L8" s="7">
        <v>1359</v>
      </c>
      <c r="M8" s="12">
        <f t="shared" ref="M8:M9" si="10">H8-G8</f>
        <v>0</v>
      </c>
      <c r="N8" s="7"/>
      <c r="O8" s="12">
        <f>I8</f>
        <v>0</v>
      </c>
      <c r="P8" s="7"/>
      <c r="Q8" s="12">
        <f t="shared" ref="Q8:Q9" si="11">J8-I8</f>
        <v>0</v>
      </c>
      <c r="R8" s="7"/>
      <c r="S8" s="12">
        <f t="shared" si="3"/>
        <v>1403113.1399999494</v>
      </c>
      <c r="T8" s="7"/>
      <c r="U8" s="8" t="s">
        <v>11</v>
      </c>
      <c r="V8" s="23">
        <v>15300</v>
      </c>
      <c r="W8" s="3"/>
      <c r="X8" s="4"/>
      <c r="Y8" s="7"/>
      <c r="Z8" s="7"/>
      <c r="AA8" s="4"/>
      <c r="AB8" s="4"/>
      <c r="AC8" s="3"/>
      <c r="AD8" s="3"/>
      <c r="AE8" s="21"/>
      <c r="AF8" s="3" t="s">
        <v>21</v>
      </c>
      <c r="AG8" s="7">
        <v>494932</v>
      </c>
      <c r="AH8" s="7">
        <v>495964</v>
      </c>
      <c r="AI8" s="7">
        <v>495964</v>
      </c>
      <c r="AJ8" s="7"/>
      <c r="AK8" s="7"/>
      <c r="AL8" s="12">
        <f t="shared" ref="AL8:AL9" si="12">AH8-AG8</f>
        <v>1032</v>
      </c>
      <c r="AM8" s="7">
        <v>1359</v>
      </c>
      <c r="AN8" s="12">
        <f t="shared" ref="AN8:AN9" si="13">AI8-AH8</f>
        <v>0</v>
      </c>
      <c r="AO8" s="7"/>
      <c r="AP8" s="12">
        <f t="shared" si="6"/>
        <v>0</v>
      </c>
      <c r="AQ8" s="7"/>
      <c r="AR8" s="12">
        <f t="shared" ref="AR8:AR9" si="14">AK8-AJ8</f>
        <v>0</v>
      </c>
      <c r="AS8" s="7"/>
      <c r="AT8" s="12">
        <f t="shared" ref="AT8:AT9" si="15">(AL8*AM8)+(AN8*AO8)+(AP8*AQ8)+(AR8*AS8)</f>
        <v>1402488</v>
      </c>
      <c r="AU8" s="7"/>
      <c r="AV8" s="24" t="s">
        <v>11</v>
      </c>
      <c r="AW8" s="23">
        <v>15300</v>
      </c>
      <c r="AX8" s="3"/>
    </row>
    <row r="9" spans="2:50" x14ac:dyDescent="0.25">
      <c r="D9" s="21"/>
      <c r="E9" s="3"/>
      <c r="F9" s="7"/>
      <c r="G9" s="7"/>
      <c r="H9" s="7"/>
      <c r="I9" s="7"/>
      <c r="J9" s="7"/>
      <c r="K9" s="12">
        <f t="shared" si="9"/>
        <v>0</v>
      </c>
      <c r="L9" s="7"/>
      <c r="M9" s="12">
        <f t="shared" si="10"/>
        <v>0</v>
      </c>
      <c r="N9" s="7"/>
      <c r="O9" s="12">
        <f t="shared" ref="O9" si="16">I9</f>
        <v>0</v>
      </c>
      <c r="P9" s="7"/>
      <c r="Q9" s="12">
        <f t="shared" si="11"/>
        <v>0</v>
      </c>
      <c r="R9" s="7"/>
      <c r="S9" s="12">
        <f t="shared" si="3"/>
        <v>0</v>
      </c>
      <c r="T9" s="7"/>
      <c r="U9" s="8" t="s">
        <v>22</v>
      </c>
      <c r="V9" s="23"/>
      <c r="W9" s="3"/>
      <c r="X9" s="4"/>
      <c r="Y9" s="7"/>
      <c r="Z9" s="7"/>
      <c r="AA9" s="4"/>
      <c r="AB9" s="4"/>
      <c r="AC9" s="3"/>
      <c r="AD9" s="3"/>
      <c r="AE9" s="21"/>
      <c r="AF9" s="3"/>
      <c r="AG9" s="7"/>
      <c r="AH9" s="7"/>
      <c r="AI9" s="7"/>
      <c r="AJ9" s="7"/>
      <c r="AK9" s="7"/>
      <c r="AL9" s="12">
        <f t="shared" si="12"/>
        <v>0</v>
      </c>
      <c r="AM9" s="7"/>
      <c r="AN9" s="12">
        <f t="shared" si="13"/>
        <v>0</v>
      </c>
      <c r="AO9" s="7"/>
      <c r="AP9" s="12">
        <f t="shared" si="6"/>
        <v>0</v>
      </c>
      <c r="AQ9" s="7"/>
      <c r="AR9" s="12">
        <f t="shared" si="14"/>
        <v>0</v>
      </c>
      <c r="AS9" s="7"/>
      <c r="AT9" s="12">
        <f t="shared" si="15"/>
        <v>0</v>
      </c>
      <c r="AU9" s="7"/>
      <c r="AV9" s="24" t="s">
        <v>22</v>
      </c>
      <c r="AW9" s="23"/>
      <c r="AX9" s="3"/>
    </row>
    <row r="10" spans="2:50" x14ac:dyDescent="0.25">
      <c r="D10" s="21" t="s">
        <v>23</v>
      </c>
      <c r="E10" s="2">
        <f>K10+M10+O10+Q10</f>
        <v>1032.4599999999627</v>
      </c>
      <c r="F10" s="3"/>
      <c r="G10" s="3"/>
      <c r="H10" s="3"/>
      <c r="I10" s="3"/>
      <c r="J10" s="3"/>
      <c r="K10" s="22">
        <f>SUM(K8:K9)</f>
        <v>1032.4599999999627</v>
      </c>
      <c r="L10" s="7"/>
      <c r="M10" s="22">
        <f>SUM(M8:M9)</f>
        <v>0</v>
      </c>
      <c r="N10" s="7"/>
      <c r="O10" s="22">
        <f>SUM(O8:O9)</f>
        <v>0</v>
      </c>
      <c r="P10" s="7"/>
      <c r="Q10" s="22">
        <f>SUM(Q8:Q9)</f>
        <v>0</v>
      </c>
      <c r="R10" s="7"/>
      <c r="S10" s="12"/>
      <c r="T10" s="7"/>
      <c r="U10" s="8" t="s">
        <v>24</v>
      </c>
      <c r="V10" s="23"/>
      <c r="W10" s="3"/>
      <c r="X10" s="4"/>
      <c r="Y10" s="7"/>
      <c r="Z10" s="7"/>
      <c r="AA10" s="4"/>
      <c r="AC10" s="3"/>
      <c r="AD10" s="25"/>
      <c r="AE10" s="21" t="s">
        <v>23</v>
      </c>
      <c r="AF10" s="2">
        <f>AL10+AN10+AP10+AR10</f>
        <v>1032</v>
      </c>
      <c r="AG10" s="3"/>
      <c r="AH10" s="3"/>
      <c r="AI10" s="3"/>
      <c r="AJ10" s="3"/>
      <c r="AK10" s="3"/>
      <c r="AL10" s="22">
        <f>SUM(AL8:AL9)</f>
        <v>1032</v>
      </c>
      <c r="AM10" s="7"/>
      <c r="AN10" s="22">
        <f>SUM(AN8:AN9)</f>
        <v>0</v>
      </c>
      <c r="AO10" s="7"/>
      <c r="AP10" s="22">
        <f>SUM(AP8:AP9)</f>
        <v>0</v>
      </c>
      <c r="AQ10" s="7"/>
      <c r="AR10" s="22">
        <f>SUM(AR8:AR9)</f>
        <v>0</v>
      </c>
      <c r="AS10" s="7"/>
      <c r="AT10" s="12"/>
      <c r="AU10" s="7"/>
      <c r="AV10" s="24" t="s">
        <v>24</v>
      </c>
      <c r="AW10" s="23"/>
      <c r="AX10" s="3"/>
    </row>
    <row r="11" spans="2:50" x14ac:dyDescent="0.25">
      <c r="D11" s="21"/>
      <c r="E11" s="3" t="s">
        <v>25</v>
      </c>
      <c r="F11" s="7">
        <v>484668.27</v>
      </c>
      <c r="G11" s="7">
        <v>485250.69</v>
      </c>
      <c r="H11" s="7">
        <v>485250.69</v>
      </c>
      <c r="I11" s="7"/>
      <c r="J11" s="7"/>
      <c r="K11" s="12">
        <f t="shared" ref="K11:K14" si="17">G11-F11</f>
        <v>582.4199999999837</v>
      </c>
      <c r="L11" s="7">
        <v>1359</v>
      </c>
      <c r="M11" s="12">
        <f t="shared" ref="M11:M12" si="18">H11-G11</f>
        <v>0</v>
      </c>
      <c r="N11" s="7"/>
      <c r="O11" s="12">
        <f>I11</f>
        <v>0</v>
      </c>
      <c r="P11" s="7"/>
      <c r="Q11" s="12">
        <f t="shared" ref="Q11:Q12" si="19">J11-I11</f>
        <v>0</v>
      </c>
      <c r="R11" s="7"/>
      <c r="S11" s="12">
        <f t="shared" si="3"/>
        <v>791508.77999997791</v>
      </c>
      <c r="T11" s="7"/>
      <c r="U11" s="3"/>
      <c r="V11" s="3"/>
      <c r="W11" s="3"/>
      <c r="X11" s="4"/>
      <c r="Y11" s="7"/>
      <c r="Z11" s="7"/>
      <c r="AA11" s="4"/>
      <c r="AB11" s="4"/>
      <c r="AC11" s="3"/>
      <c r="AD11" s="3"/>
      <c r="AE11" s="21"/>
      <c r="AF11" s="3" t="s">
        <v>25</v>
      </c>
      <c r="AG11" s="7">
        <v>484705</v>
      </c>
      <c r="AH11" s="7">
        <v>485288</v>
      </c>
      <c r="AI11" s="7">
        <v>485288</v>
      </c>
      <c r="AJ11" s="7"/>
      <c r="AK11" s="7"/>
      <c r="AL11" s="12">
        <f t="shared" ref="AL11:AL12" si="20">AH11-AG11</f>
        <v>583</v>
      </c>
      <c r="AM11" s="7">
        <v>1359</v>
      </c>
      <c r="AN11" s="12">
        <f t="shared" ref="AN11:AN12" si="21">AI11-AH11</f>
        <v>0</v>
      </c>
      <c r="AO11" s="7"/>
      <c r="AP11" s="12">
        <f t="shared" si="6"/>
        <v>0</v>
      </c>
      <c r="AQ11" s="7"/>
      <c r="AR11" s="12">
        <f t="shared" ref="AR11:AR12" si="22">AK11-AJ11</f>
        <v>0</v>
      </c>
      <c r="AS11" s="7"/>
      <c r="AT11" s="12">
        <f t="shared" ref="AT11:AT12" si="23">(AL11*AM11)+(AN11*AO11)+(AP11*AQ11)+(AR11*AS11)</f>
        <v>792297</v>
      </c>
      <c r="AU11" s="7"/>
      <c r="AV11" s="3"/>
      <c r="AW11" s="3"/>
      <c r="AX11" s="3"/>
    </row>
    <row r="12" spans="2:50" x14ac:dyDescent="0.25">
      <c r="D12" s="21"/>
      <c r="E12" s="3" t="s">
        <v>26</v>
      </c>
      <c r="F12" s="7">
        <v>549214.93999999994</v>
      </c>
      <c r="G12" s="7">
        <v>549545.14</v>
      </c>
      <c r="H12" s="7">
        <v>549545.14</v>
      </c>
      <c r="I12" s="7"/>
      <c r="J12" s="7"/>
      <c r="K12" s="12">
        <f t="shared" si="17"/>
        <v>330.20000000006985</v>
      </c>
      <c r="L12" s="7">
        <v>1359</v>
      </c>
      <c r="M12" s="12">
        <f t="shared" si="18"/>
        <v>0</v>
      </c>
      <c r="N12" s="7"/>
      <c r="O12" s="12">
        <f>I12</f>
        <v>0</v>
      </c>
      <c r="P12" s="7"/>
      <c r="Q12" s="12">
        <f t="shared" si="19"/>
        <v>0</v>
      </c>
      <c r="R12" s="7"/>
      <c r="S12" s="12">
        <f t="shared" si="3"/>
        <v>448741.80000009493</v>
      </c>
      <c r="T12" s="7"/>
      <c r="U12" s="8" t="s">
        <v>27</v>
      </c>
      <c r="V12" s="3"/>
      <c r="W12" s="26" t="s">
        <v>5</v>
      </c>
      <c r="X12" s="4"/>
      <c r="Y12" s="7"/>
      <c r="Z12" s="3"/>
      <c r="AA12" s="4"/>
      <c r="AB12" s="3"/>
      <c r="AC12" s="3"/>
      <c r="AD12" s="8"/>
      <c r="AE12" s="21"/>
      <c r="AF12" s="3" t="s">
        <v>26</v>
      </c>
      <c r="AG12" s="7">
        <v>549255</v>
      </c>
      <c r="AH12" s="7">
        <v>549585</v>
      </c>
      <c r="AI12" s="7">
        <v>549585</v>
      </c>
      <c r="AJ12" s="7"/>
      <c r="AK12" s="7"/>
      <c r="AL12" s="12">
        <f t="shared" si="20"/>
        <v>330</v>
      </c>
      <c r="AM12" s="7">
        <v>1359</v>
      </c>
      <c r="AN12" s="12">
        <f t="shared" si="21"/>
        <v>0</v>
      </c>
      <c r="AO12" s="7"/>
      <c r="AP12" s="12">
        <f t="shared" si="6"/>
        <v>0</v>
      </c>
      <c r="AQ12" s="7"/>
      <c r="AR12" s="12">
        <f t="shared" si="22"/>
        <v>0</v>
      </c>
      <c r="AS12" s="7"/>
      <c r="AT12" s="12">
        <f t="shared" si="23"/>
        <v>448470</v>
      </c>
      <c r="AU12" s="7"/>
      <c r="AV12" s="8" t="s">
        <v>27</v>
      </c>
      <c r="AW12" s="3"/>
      <c r="AX12" s="26" t="s">
        <v>5</v>
      </c>
    </row>
    <row r="13" spans="2:50" x14ac:dyDescent="0.25">
      <c r="D13" s="21" t="s">
        <v>28</v>
      </c>
      <c r="E13" s="2">
        <f>K13+M13+O13+Q13</f>
        <v>912.62000000005355</v>
      </c>
      <c r="F13" s="3"/>
      <c r="G13" s="3"/>
      <c r="H13" s="3"/>
      <c r="I13" s="3"/>
      <c r="J13" s="3"/>
      <c r="K13" s="22">
        <f>SUM(K11:K12)</f>
        <v>912.62000000005355</v>
      </c>
      <c r="L13" s="7"/>
      <c r="M13" s="22">
        <f>SUM(M11:M12)</f>
        <v>0</v>
      </c>
      <c r="N13" s="7"/>
      <c r="O13" s="22">
        <f>SUM(O11:O12)</f>
        <v>0</v>
      </c>
      <c r="P13" s="7"/>
      <c r="Q13" s="22">
        <f>SUM(Q11:Q12)</f>
        <v>0</v>
      </c>
      <c r="R13" s="7"/>
      <c r="S13" s="12"/>
      <c r="T13" s="7"/>
      <c r="U13" s="27"/>
      <c r="V13" s="3"/>
      <c r="W13" s="28"/>
      <c r="X13" s="4"/>
      <c r="Y13" s="3"/>
      <c r="Z13" s="3"/>
      <c r="AA13" s="4"/>
      <c r="AB13" s="29" t="s">
        <v>29</v>
      </c>
      <c r="AC13" s="30">
        <f>SUM(AC3:AC12)</f>
        <v>0</v>
      </c>
      <c r="AD13" s="4"/>
      <c r="AE13" s="21" t="s">
        <v>28</v>
      </c>
      <c r="AF13" s="2">
        <f>AL13+AN13+AP13+AR13</f>
        <v>913</v>
      </c>
      <c r="AG13" s="3"/>
      <c r="AH13" s="3"/>
      <c r="AI13" s="3"/>
      <c r="AJ13" s="3"/>
      <c r="AK13" s="3"/>
      <c r="AL13" s="22">
        <f>SUM(AL11:AL12)</f>
        <v>913</v>
      </c>
      <c r="AM13" s="7"/>
      <c r="AN13" s="22">
        <f>SUM(AN11:AN12)</f>
        <v>0</v>
      </c>
      <c r="AO13" s="7"/>
      <c r="AP13" s="22">
        <f>SUM(AP11:AP12)</f>
        <v>0</v>
      </c>
      <c r="AQ13" s="7"/>
      <c r="AR13" s="22">
        <f>SUM(AR11:AR12)</f>
        <v>0</v>
      </c>
      <c r="AS13" s="7"/>
      <c r="AT13" s="12"/>
      <c r="AU13" s="7"/>
      <c r="AV13" s="27"/>
      <c r="AW13" s="3"/>
      <c r="AX13" s="28"/>
    </row>
    <row r="14" spans="2:50" x14ac:dyDescent="0.25">
      <c r="D14" s="21"/>
      <c r="E14" s="3" t="s">
        <v>24</v>
      </c>
      <c r="F14" s="7">
        <v>472028.75</v>
      </c>
      <c r="G14" s="7">
        <v>472258.43</v>
      </c>
      <c r="H14" s="7">
        <v>472258.43</v>
      </c>
      <c r="I14" s="7"/>
      <c r="J14" s="7"/>
      <c r="K14" s="12">
        <f t="shared" si="17"/>
        <v>229.67999999999302</v>
      </c>
      <c r="L14" s="7">
        <v>1857</v>
      </c>
      <c r="M14" s="12">
        <f>H14-G14</f>
        <v>0</v>
      </c>
      <c r="N14" s="7"/>
      <c r="O14" s="12">
        <f>I14</f>
        <v>0</v>
      </c>
      <c r="P14" s="7"/>
      <c r="Q14" s="12">
        <f>J14-I14</f>
        <v>0</v>
      </c>
      <c r="R14" s="7"/>
      <c r="S14" s="12">
        <f t="shared" si="3"/>
        <v>426515.75999998703</v>
      </c>
      <c r="T14" s="7"/>
      <c r="U14" s="27"/>
      <c r="V14" s="3"/>
      <c r="W14" s="3"/>
      <c r="X14" s="4"/>
      <c r="Y14" s="3"/>
      <c r="Z14" s="7"/>
      <c r="AA14" s="4"/>
      <c r="AB14" s="4"/>
      <c r="AC14" s="4"/>
      <c r="AD14" s="4"/>
      <c r="AE14" s="21"/>
      <c r="AF14" s="3" t="s">
        <v>24</v>
      </c>
      <c r="AG14" s="7">
        <v>472058</v>
      </c>
      <c r="AH14" s="7">
        <v>472288</v>
      </c>
      <c r="AI14" s="7">
        <v>472288</v>
      </c>
      <c r="AJ14" s="7"/>
      <c r="AK14" s="7"/>
      <c r="AL14" s="12">
        <f t="shared" ref="AL14" si="24">AH14-AG14</f>
        <v>230</v>
      </c>
      <c r="AM14" s="7">
        <v>1857</v>
      </c>
      <c r="AN14" s="12">
        <f>AI14-AH14</f>
        <v>0</v>
      </c>
      <c r="AO14" s="7"/>
      <c r="AP14" s="12">
        <f t="shared" si="6"/>
        <v>0</v>
      </c>
      <c r="AQ14" s="7"/>
      <c r="AR14" s="12">
        <f>AK14-AJ14</f>
        <v>0</v>
      </c>
      <c r="AS14" s="7"/>
      <c r="AT14" s="12">
        <f t="shared" ref="AT14" si="25">(AL14*AM14)+(AN14*AO14)+(AP14*AQ14)+(AR14*AS14)</f>
        <v>427110</v>
      </c>
      <c r="AU14" s="7"/>
      <c r="AV14" s="27"/>
      <c r="AW14" s="3"/>
      <c r="AX14" s="3"/>
    </row>
    <row r="15" spans="2:50" x14ac:dyDescent="0.25">
      <c r="D15" s="4"/>
      <c r="E15" s="3"/>
      <c r="I15" s="7"/>
      <c r="K15" s="12">
        <f>J15-I15</f>
        <v>0</v>
      </c>
      <c r="L15" s="7"/>
      <c r="M15" s="12">
        <f>L15-K15</f>
        <v>0</v>
      </c>
      <c r="N15" s="7"/>
      <c r="O15" s="12">
        <f>N15-M15</f>
        <v>0</v>
      </c>
      <c r="P15" s="7"/>
      <c r="Q15" s="12">
        <f>P15-O15</f>
        <v>0</v>
      </c>
      <c r="R15" s="7"/>
      <c r="S15" s="12">
        <f>(H15-I15)*R15</f>
        <v>0</v>
      </c>
      <c r="T15" s="7"/>
      <c r="U15" s="3"/>
      <c r="V15" s="3"/>
      <c r="W15" s="31"/>
      <c r="X15" s="4"/>
      <c r="Y15" s="7"/>
      <c r="Z15" s="3"/>
      <c r="AA15" s="4"/>
      <c r="AB15" s="4"/>
      <c r="AC15" s="4"/>
      <c r="AD15" s="4"/>
      <c r="AE15" s="4"/>
      <c r="AF15" s="3"/>
      <c r="AL15" s="12">
        <f>AK15-AJ15</f>
        <v>0</v>
      </c>
      <c r="AM15" s="7"/>
      <c r="AN15" s="12">
        <f>AM15-AL15</f>
        <v>0</v>
      </c>
      <c r="AO15" s="7"/>
      <c r="AP15" s="12">
        <f>AO15-AN15</f>
        <v>0</v>
      </c>
      <c r="AQ15" s="7"/>
      <c r="AR15" s="12">
        <f>AQ15-AP15</f>
        <v>0</v>
      </c>
      <c r="AS15" s="7"/>
      <c r="AT15" s="12">
        <f>(AI15-AJ15)*AS15</f>
        <v>0</v>
      </c>
      <c r="AU15" s="7"/>
      <c r="AV15" s="3"/>
      <c r="AW15" s="3"/>
      <c r="AX15" s="31"/>
    </row>
    <row r="16" spans="2:50" x14ac:dyDescent="0.25">
      <c r="D16" s="21" t="s">
        <v>30</v>
      </c>
      <c r="E16" s="2">
        <f>K16+M16+O16+Q16</f>
        <v>229.67999999999302</v>
      </c>
      <c r="F16" s="3"/>
      <c r="G16" s="3"/>
      <c r="H16" s="3"/>
      <c r="I16" s="7"/>
      <c r="K16" s="22">
        <f>SUM(K14:K15)</f>
        <v>229.67999999999302</v>
      </c>
      <c r="L16" s="7"/>
      <c r="M16" s="22">
        <f>SUM(M14:M15)</f>
        <v>0</v>
      </c>
      <c r="N16" s="7"/>
      <c r="O16" s="22">
        <f>SUM(O14:O15)</f>
        <v>0</v>
      </c>
      <c r="P16" s="7"/>
      <c r="Q16" s="22">
        <f>SUM(Q14:Q15)</f>
        <v>0</v>
      </c>
      <c r="R16" s="7"/>
      <c r="T16" s="4"/>
      <c r="U16" s="48"/>
      <c r="V16" s="3"/>
      <c r="W16" s="3"/>
      <c r="X16" s="4"/>
      <c r="Y16" s="3"/>
      <c r="Z16" s="7"/>
      <c r="AA16" s="4"/>
      <c r="AB16" s="4"/>
      <c r="AC16" s="4"/>
      <c r="AD16" s="4"/>
      <c r="AE16" s="21" t="s">
        <v>30</v>
      </c>
      <c r="AF16" s="2">
        <f>AL16+AN16+AP16+AR16</f>
        <v>230</v>
      </c>
      <c r="AG16" s="32"/>
      <c r="AH16" s="32"/>
      <c r="AI16" s="32"/>
      <c r="AJ16" s="7"/>
      <c r="AL16" s="22">
        <f>SUM(AL14:AL15)</f>
        <v>230</v>
      </c>
      <c r="AM16" s="7"/>
      <c r="AN16" s="22">
        <f>SUM(AN14:AN15)</f>
        <v>0</v>
      </c>
      <c r="AO16" s="7"/>
      <c r="AP16" s="22">
        <f>SUM(AP14:AP15)</f>
        <v>0</v>
      </c>
      <c r="AQ16" s="7"/>
      <c r="AR16" s="22">
        <f>SUM(AR14:AR15)</f>
        <v>0</v>
      </c>
      <c r="AS16" s="7"/>
      <c r="AU16" s="4"/>
      <c r="AW16" s="3"/>
      <c r="AX16" s="3"/>
    </row>
    <row r="17" spans="2:50" x14ac:dyDescent="0.25">
      <c r="D17" s="8"/>
      <c r="E17" s="4"/>
      <c r="F17" s="4"/>
      <c r="G17" s="4"/>
      <c r="H17" s="4"/>
      <c r="I17" s="4"/>
      <c r="R17" s="6" t="s">
        <v>29</v>
      </c>
      <c r="S17" s="33">
        <f>SUM(S3:S15)</f>
        <v>5604387.3000000622</v>
      </c>
      <c r="T17" s="4"/>
      <c r="U17" s="3"/>
      <c r="W17" s="48"/>
      <c r="X17" s="4"/>
      <c r="Y17" s="7"/>
      <c r="Z17" s="7"/>
      <c r="AA17" s="4"/>
      <c r="AB17" s="4"/>
      <c r="AC17" s="4"/>
      <c r="AD17" s="4"/>
      <c r="AE17" s="8"/>
      <c r="AF17" s="4"/>
      <c r="AG17" s="4"/>
      <c r="AH17" s="4"/>
      <c r="AI17" s="4"/>
      <c r="AJ17" s="4"/>
      <c r="AS17" s="6" t="s">
        <v>29</v>
      </c>
      <c r="AT17" s="33">
        <f>SUM(AT3:AT15)</f>
        <v>5603541</v>
      </c>
      <c r="AU17" s="4"/>
      <c r="AV17" s="4"/>
    </row>
    <row r="18" spans="2:50" x14ac:dyDescent="0.25">
      <c r="D18" s="8"/>
      <c r="E18" s="4"/>
      <c r="F18" s="4"/>
      <c r="G18" s="4"/>
      <c r="H18" s="4"/>
      <c r="I18" s="4"/>
      <c r="J18" s="4"/>
      <c r="K18" s="4"/>
      <c r="L18" s="4"/>
      <c r="M18" s="4"/>
      <c r="N18" s="31"/>
      <c r="O18" s="3"/>
      <c r="P18" s="3"/>
      <c r="Q18" s="3"/>
      <c r="R18" s="3"/>
      <c r="S18" s="3"/>
      <c r="T18" s="3"/>
      <c r="U18" s="3"/>
      <c r="W18" s="3"/>
      <c r="X18" s="4"/>
      <c r="Y18" s="7"/>
      <c r="Z18" s="3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  <c r="AS18" s="3"/>
      <c r="AT18" s="3"/>
      <c r="AU18" s="3"/>
      <c r="AV18" s="3"/>
      <c r="AX18" s="3"/>
    </row>
    <row r="19" spans="2:50" x14ac:dyDescent="0.25">
      <c r="D19" s="8"/>
      <c r="E19" s="8" t="s">
        <v>31</v>
      </c>
      <c r="F19" s="34" t="s">
        <v>32</v>
      </c>
      <c r="G19" s="8" t="s">
        <v>33</v>
      </c>
      <c r="H19" s="8" t="s">
        <v>3</v>
      </c>
      <c r="I19" s="8" t="s">
        <v>34</v>
      </c>
      <c r="J19" s="8" t="s">
        <v>35</v>
      </c>
      <c r="K19" s="8" t="s">
        <v>36</v>
      </c>
      <c r="L19" s="7"/>
      <c r="M19" s="8"/>
      <c r="N19" s="31"/>
      <c r="O19" s="28"/>
      <c r="P19" s="28"/>
      <c r="Q19" s="28"/>
      <c r="R19" s="28"/>
      <c r="S19" s="28"/>
      <c r="T19" s="28"/>
      <c r="U19" s="28"/>
      <c r="W19" s="3"/>
      <c r="X19" s="4"/>
      <c r="Y19" s="3"/>
      <c r="Z19" s="7"/>
      <c r="AA19" s="4"/>
      <c r="AB19" s="4"/>
      <c r="AC19" s="4"/>
      <c r="AD19" s="4"/>
      <c r="AE19" s="8"/>
      <c r="AF19" s="8" t="s">
        <v>31</v>
      </c>
      <c r="AG19" s="34" t="s">
        <v>32</v>
      </c>
      <c r="AH19" s="8" t="s">
        <v>33</v>
      </c>
      <c r="AI19" s="8" t="s">
        <v>3</v>
      </c>
      <c r="AJ19" s="8" t="s">
        <v>34</v>
      </c>
      <c r="AK19" s="8" t="s">
        <v>35</v>
      </c>
      <c r="AL19" s="8" t="s">
        <v>36</v>
      </c>
      <c r="AM19" s="7"/>
      <c r="AN19" s="8"/>
      <c r="AO19" s="3"/>
      <c r="AP19" s="28"/>
      <c r="AQ19" s="28"/>
      <c r="AR19" s="28"/>
      <c r="AS19" s="28"/>
      <c r="AT19" s="28"/>
      <c r="AU19" s="28"/>
      <c r="AV19" s="28"/>
      <c r="AX19" s="3"/>
    </row>
    <row r="20" spans="2:50" x14ac:dyDescent="0.25">
      <c r="D20" s="8"/>
      <c r="E20" s="8" t="s">
        <v>8</v>
      </c>
      <c r="F20" s="35">
        <v>16700</v>
      </c>
      <c r="G20" s="35">
        <v>15850</v>
      </c>
      <c r="H20" s="36">
        <f>F20+V7-G20</f>
        <v>850</v>
      </c>
      <c r="I20" s="36">
        <f>E13-H20</f>
        <v>62.620000000053551</v>
      </c>
      <c r="J20" s="37">
        <f>E13*0.0775</f>
        <v>70.728050000004146</v>
      </c>
      <c r="K20" s="38">
        <f>I20-J20</f>
        <v>-8.1080499999505946</v>
      </c>
      <c r="L20" s="7"/>
      <c r="N20" s="31"/>
      <c r="O20" s="28"/>
      <c r="P20" s="28"/>
      <c r="Q20" s="28"/>
      <c r="R20" s="28"/>
      <c r="S20" s="28"/>
      <c r="T20" s="28"/>
      <c r="U20" s="28"/>
      <c r="W20" s="3"/>
      <c r="X20" s="3"/>
      <c r="Y20" s="7"/>
      <c r="Z20" s="7"/>
      <c r="AA20" s="4"/>
      <c r="AB20" s="4"/>
      <c r="AC20" s="4"/>
      <c r="AD20" s="4"/>
      <c r="AE20" s="8"/>
      <c r="AF20" s="24" t="s">
        <v>8</v>
      </c>
      <c r="AG20" s="35">
        <v>16700</v>
      </c>
      <c r="AH20" s="35">
        <v>15850</v>
      </c>
      <c r="AI20" s="36">
        <f>AG20+AW7-AH20</f>
        <v>850</v>
      </c>
      <c r="AJ20" s="36">
        <f>AF13-AI20</f>
        <v>63</v>
      </c>
      <c r="AK20" s="37">
        <f>AF13*0.0775</f>
        <v>70.757499999999993</v>
      </c>
      <c r="AL20" s="38">
        <f>AJ20-AK20</f>
        <v>-7.7574999999999932</v>
      </c>
      <c r="AM20" s="7"/>
      <c r="AO20" s="3"/>
      <c r="AP20" s="28"/>
      <c r="AQ20" s="28"/>
      <c r="AR20" s="28"/>
      <c r="AS20" s="28"/>
      <c r="AT20" s="28"/>
      <c r="AU20" s="28"/>
      <c r="AV20" s="28"/>
      <c r="AX20" s="3"/>
    </row>
    <row r="21" spans="2:50" x14ac:dyDescent="0.25">
      <c r="D21" s="8"/>
      <c r="E21" s="8" t="s">
        <v>37</v>
      </c>
      <c r="F21" s="35">
        <v>11650</v>
      </c>
      <c r="G21" s="35">
        <v>25150</v>
      </c>
      <c r="H21" s="36">
        <f>F21+V8-G21</f>
        <v>1800</v>
      </c>
      <c r="I21" s="36">
        <f>E7-H21</f>
        <v>64.980000000039581</v>
      </c>
      <c r="J21" s="37">
        <f>E7*0.0775</f>
        <v>144.53595000000306</v>
      </c>
      <c r="K21" s="38">
        <f>I21-J21</f>
        <v>-79.555949999963474</v>
      </c>
      <c r="L21" s="7"/>
      <c r="M21" s="3"/>
      <c r="N21" s="3"/>
      <c r="O21" s="28"/>
      <c r="P21" s="28"/>
      <c r="Q21" s="28"/>
      <c r="R21" s="28"/>
      <c r="S21" s="28"/>
      <c r="T21" s="28"/>
      <c r="U21" s="28"/>
      <c r="W21" s="3"/>
      <c r="X21" s="3"/>
      <c r="Z21" s="3"/>
      <c r="AA21" s="4"/>
      <c r="AB21" s="4"/>
      <c r="AC21" s="4"/>
      <c r="AD21" s="4"/>
      <c r="AE21" s="8"/>
      <c r="AF21" s="24" t="s">
        <v>37</v>
      </c>
      <c r="AG21" s="35">
        <v>11650</v>
      </c>
      <c r="AH21" s="35">
        <v>25150</v>
      </c>
      <c r="AI21" s="36">
        <f>AG21+AW8-AH21</f>
        <v>1800</v>
      </c>
      <c r="AJ21" s="36">
        <f>AF7-AI21</f>
        <v>64</v>
      </c>
      <c r="AK21" s="37">
        <f>AF7*0.0775</f>
        <v>144.46</v>
      </c>
      <c r="AL21" s="38">
        <f>AJ21-AK21</f>
        <v>-80.460000000000008</v>
      </c>
      <c r="AM21" s="7"/>
      <c r="AN21" s="3"/>
      <c r="AO21" s="3"/>
      <c r="AP21" s="28"/>
      <c r="AQ21" s="28"/>
      <c r="AR21" s="28"/>
      <c r="AS21" s="28"/>
      <c r="AT21" s="28"/>
      <c r="AU21" s="28"/>
      <c r="AV21" s="28"/>
      <c r="AX21" s="3"/>
    </row>
    <row r="22" spans="2:50" x14ac:dyDescent="0.25">
      <c r="D22" s="3"/>
      <c r="E22" s="8" t="s">
        <v>14</v>
      </c>
      <c r="F22" s="35">
        <v>16350</v>
      </c>
      <c r="G22" s="35">
        <v>15400</v>
      </c>
      <c r="H22" s="36">
        <f>F22+V9-G22</f>
        <v>950</v>
      </c>
      <c r="I22" s="36">
        <f>E10-H22</f>
        <v>82.459999999962747</v>
      </c>
      <c r="J22" s="37">
        <f>E10*0.0775</f>
        <v>80.015649999997109</v>
      </c>
      <c r="K22" s="38">
        <f>I22-J22</f>
        <v>2.4443499999656382</v>
      </c>
      <c r="L22" s="7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7"/>
      <c r="Z22" s="3"/>
      <c r="AA22" s="4"/>
      <c r="AB22" s="4"/>
      <c r="AC22" s="4"/>
      <c r="AD22" s="4"/>
      <c r="AE22" s="3"/>
      <c r="AF22" s="24" t="s">
        <v>14</v>
      </c>
      <c r="AG22" s="35">
        <v>16350</v>
      </c>
      <c r="AH22" s="35">
        <v>15400</v>
      </c>
      <c r="AI22" s="36">
        <f>AG22+AW9-AH22</f>
        <v>950</v>
      </c>
      <c r="AJ22" s="36">
        <f>AF10-AI22</f>
        <v>82</v>
      </c>
      <c r="AK22" s="37">
        <f>AF10*0.0775</f>
        <v>79.98</v>
      </c>
      <c r="AL22" s="38">
        <f>AJ22-AK22</f>
        <v>2.019999999999996</v>
      </c>
      <c r="AM22" s="7"/>
      <c r="AN22" s="3"/>
      <c r="AO22" s="3"/>
      <c r="AP22" s="3"/>
      <c r="AQ22" s="3"/>
      <c r="AR22" s="3"/>
      <c r="AS22" s="3"/>
      <c r="AT22" s="3"/>
      <c r="AU22" s="3"/>
      <c r="AV22" s="3"/>
      <c r="AX22" s="3"/>
    </row>
    <row r="23" spans="2:50" x14ac:dyDescent="0.25">
      <c r="D23" s="3"/>
      <c r="E23" s="8" t="s">
        <v>38</v>
      </c>
      <c r="F23" s="35">
        <v>16300</v>
      </c>
      <c r="G23" s="35">
        <v>16050</v>
      </c>
      <c r="H23" s="36">
        <f>F23+V10-G23</f>
        <v>250</v>
      </c>
      <c r="I23" s="36">
        <f>E16-H23</f>
        <v>-20.320000000006985</v>
      </c>
      <c r="J23" s="37">
        <f>E16*0.0775</f>
        <v>17.80019999999946</v>
      </c>
      <c r="K23" s="38">
        <f>I23-J23</f>
        <v>-38.120200000006449</v>
      </c>
      <c r="L23" s="7"/>
      <c r="M23" s="3"/>
      <c r="N23" s="3"/>
      <c r="O23" s="3"/>
      <c r="P23" s="3"/>
      <c r="Q23" s="3"/>
      <c r="R23" s="3"/>
      <c r="S23" s="3"/>
      <c r="T23" s="3"/>
      <c r="U23" s="6" t="s">
        <v>29</v>
      </c>
      <c r="W23" s="33">
        <f>SUM(W13:W22)</f>
        <v>0</v>
      </c>
      <c r="X23" s="4"/>
      <c r="Y23" s="3"/>
      <c r="Z23" s="3"/>
      <c r="AA23" s="4"/>
      <c r="AB23" s="4"/>
      <c r="AC23" s="4"/>
      <c r="AD23" s="4"/>
      <c r="AE23" s="3"/>
      <c r="AF23" s="24" t="s">
        <v>38</v>
      </c>
      <c r="AG23" s="35">
        <v>16300</v>
      </c>
      <c r="AH23" s="35">
        <v>16050</v>
      </c>
      <c r="AI23" s="36">
        <f>AG23+AW10-AH23</f>
        <v>250</v>
      </c>
      <c r="AJ23" s="36">
        <f>AF16-AI23</f>
        <v>-20</v>
      </c>
      <c r="AK23" s="37">
        <f>AF16*0.0775</f>
        <v>17.824999999999999</v>
      </c>
      <c r="AL23" s="38">
        <f>AJ23-AK23</f>
        <v>-37.825000000000003</v>
      </c>
      <c r="AM23" s="7"/>
      <c r="AN23" s="3"/>
      <c r="AO23" s="3"/>
      <c r="AP23" s="3"/>
      <c r="AQ23" s="3"/>
      <c r="AR23" s="3"/>
      <c r="AS23" s="3"/>
      <c r="AT23" s="3"/>
      <c r="AU23" s="3"/>
      <c r="AV23" s="6" t="s">
        <v>29</v>
      </c>
      <c r="AX23" s="33">
        <f>SUM(AX13:AX22)</f>
        <v>0</v>
      </c>
    </row>
    <row r="24" spans="2:50" x14ac:dyDescent="0.25">
      <c r="D24" s="7"/>
      <c r="E24" s="3"/>
      <c r="F24" s="39"/>
      <c r="G24" s="39"/>
      <c r="H24" s="3"/>
      <c r="I24" s="3"/>
      <c r="J24" s="3"/>
      <c r="K24" s="3"/>
      <c r="L24" s="7"/>
      <c r="M24" s="3"/>
      <c r="N24" s="3"/>
      <c r="O24" s="4"/>
      <c r="P24" s="4"/>
      <c r="Q24" s="4"/>
      <c r="R24" s="4"/>
      <c r="S24" s="4"/>
      <c r="T24" s="4"/>
      <c r="U24" s="4"/>
      <c r="W24" s="3"/>
      <c r="X24" s="4"/>
      <c r="Y24" s="4"/>
      <c r="Z24" s="7"/>
      <c r="AA24" s="4"/>
      <c r="AB24" s="4"/>
      <c r="AC24" s="4"/>
      <c r="AD24" s="4"/>
      <c r="AE24" s="7"/>
      <c r="AF24" s="27"/>
      <c r="AG24" s="39"/>
      <c r="AH24" s="39"/>
      <c r="AI24" s="3"/>
      <c r="AJ24" s="3"/>
      <c r="AK24" s="3"/>
      <c r="AL24" s="3"/>
      <c r="AM24" s="7"/>
      <c r="AN24" s="3"/>
      <c r="AO24" s="3"/>
      <c r="AP24" s="4"/>
      <c r="AQ24" s="4"/>
      <c r="AR24" s="4"/>
      <c r="AS24" s="4"/>
      <c r="AT24" s="4"/>
      <c r="AU24" s="4"/>
      <c r="AV24" s="4"/>
      <c r="AX24" s="3"/>
    </row>
    <row r="25" spans="2:50" x14ac:dyDescent="0.25">
      <c r="B25" s="40" t="s">
        <v>39</v>
      </c>
      <c r="C25" s="40" t="s">
        <v>40</v>
      </c>
      <c r="D25" s="41" t="s">
        <v>41</v>
      </c>
      <c r="E25" s="41" t="s">
        <v>42</v>
      </c>
      <c r="F25" s="41" t="s">
        <v>43</v>
      </c>
      <c r="G25" s="40" t="s">
        <v>44</v>
      </c>
      <c r="H25" s="42" t="s">
        <v>45</v>
      </c>
      <c r="I25" s="6" t="s">
        <v>46</v>
      </c>
      <c r="J25" s="6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6" t="s">
        <v>54</v>
      </c>
      <c r="R25" s="2" t="s">
        <v>55</v>
      </c>
      <c r="S25" s="43"/>
      <c r="T25" s="43"/>
      <c r="U25" s="43"/>
      <c r="W25" s="3"/>
      <c r="X25" s="4"/>
      <c r="Y25" s="4"/>
      <c r="Z25" s="3"/>
      <c r="AA25" s="4"/>
      <c r="AB25" s="4"/>
      <c r="AC25" s="4"/>
      <c r="AD25" s="4"/>
      <c r="AE25" s="41" t="s">
        <v>41</v>
      </c>
      <c r="AF25" s="41" t="s">
        <v>42</v>
      </c>
      <c r="AG25" s="41" t="s">
        <v>43</v>
      </c>
      <c r="AH25" s="44" t="s">
        <v>44</v>
      </c>
      <c r="AI25" s="42" t="s">
        <v>45</v>
      </c>
      <c r="AJ25" s="45" t="s">
        <v>46</v>
      </c>
      <c r="AK25" s="45" t="s">
        <v>47</v>
      </c>
      <c r="AL25" s="2" t="s">
        <v>48</v>
      </c>
      <c r="AM25" s="2" t="s">
        <v>49</v>
      </c>
      <c r="AN25" s="2" t="s">
        <v>50</v>
      </c>
      <c r="AO25" s="2" t="s">
        <v>51</v>
      </c>
      <c r="AP25" s="2" t="s">
        <v>52</v>
      </c>
      <c r="AQ25" s="2" t="s">
        <v>53</v>
      </c>
      <c r="AR25" s="45" t="s">
        <v>54</v>
      </c>
      <c r="AS25" s="2" t="s">
        <v>55</v>
      </c>
      <c r="AT25" s="43"/>
      <c r="AU25" s="43"/>
      <c r="AV25" s="43"/>
      <c r="AX25" s="3"/>
    </row>
    <row r="26" spans="2:50" x14ac:dyDescent="0.25">
      <c r="B26" s="46">
        <v>0</v>
      </c>
      <c r="C26" s="46">
        <v>0</v>
      </c>
      <c r="D26" s="17">
        <v>314100</v>
      </c>
      <c r="E26" s="17">
        <v>1508100</v>
      </c>
      <c r="F26" s="17">
        <v>0</v>
      </c>
      <c r="G26" s="46">
        <v>0</v>
      </c>
      <c r="H26" s="46">
        <v>0</v>
      </c>
      <c r="I26" s="46">
        <v>72800</v>
      </c>
      <c r="J26" s="46">
        <v>3047906</v>
      </c>
      <c r="K26" s="46">
        <v>140500</v>
      </c>
      <c r="L26" s="46">
        <v>210000</v>
      </c>
      <c r="M26" s="46">
        <v>207000</v>
      </c>
      <c r="N26" s="46">
        <v>0</v>
      </c>
      <c r="O26" s="46">
        <v>0</v>
      </c>
      <c r="P26" s="46">
        <v>280103</v>
      </c>
      <c r="Q26" s="46">
        <v>5307552.189999871</v>
      </c>
      <c r="R26" s="47">
        <f>SUM(S17-W23-B26-C26-D26-E26-F26-G26-H26-I26-J26-K26-L26-M26-N26-O26-P26+Q26)</f>
        <v>5131430.4899999332</v>
      </c>
      <c r="S26" s="3"/>
      <c r="T26" s="3"/>
      <c r="U26" s="3"/>
      <c r="W26" s="3"/>
      <c r="X26" s="4"/>
      <c r="Y26" s="4"/>
      <c r="Z26" s="3"/>
      <c r="AA26" s="4"/>
      <c r="AB26" s="4"/>
      <c r="AC26" s="4"/>
      <c r="AD26" s="4"/>
      <c r="AE26" s="17">
        <v>0</v>
      </c>
      <c r="AF26" s="17">
        <v>1572300</v>
      </c>
      <c r="AG26" s="17">
        <v>0</v>
      </c>
      <c r="AH26" s="46">
        <v>0</v>
      </c>
      <c r="AI26" s="46">
        <v>44725</v>
      </c>
      <c r="AJ26" s="46">
        <v>10000</v>
      </c>
      <c r="AK26" s="46">
        <v>2335190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7830537.25</v>
      </c>
      <c r="AS26" s="47">
        <v>7768815.5499999998</v>
      </c>
      <c r="AT26" s="3"/>
      <c r="AU26" s="3"/>
      <c r="AV26" s="3"/>
      <c r="AX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SGR/OBX</dc:creator>
  <cp:lastModifiedBy>HP</cp:lastModifiedBy>
  <dcterms:created xsi:type="dcterms:W3CDTF">2026-09-02T08:59:46Z</dcterms:created>
  <dcterms:modified xsi:type="dcterms:W3CDTF">2026-09-24T11:40:18Z</dcterms:modified>
</cp:coreProperties>
</file>