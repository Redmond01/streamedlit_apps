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OPER HAMMED\Downloads\"/>
    </mc:Choice>
  </mc:AlternateContent>
  <xr:revisionPtr revIDLastSave="0" documentId="13_ncr:1_{EA7693A1-5443-4317-B345-19A302C599A2}" xr6:coauthVersionLast="47" xr6:coauthVersionMax="47" xr10:uidLastSave="{00000000-0000-0000-0000-000000000000}"/>
  <bookViews>
    <workbookView xWindow="-108" yWindow="-108" windowWidth="23256" windowHeight="12456" firstSheet="18" activeTab="25" xr2:uid="{00000000-000D-0000-FFFF-FFFF00000000}"/>
  </bookViews>
  <sheets>
    <sheet name="SUMMARY" sheetId="2" r:id="rId1"/>
    <sheet name="01-09-2026" sheetId="1" r:id="rId2"/>
    <sheet name="02-09-2026" sheetId="3" r:id="rId3"/>
    <sheet name="03-09-2026" sheetId="4" r:id="rId4"/>
    <sheet name="04-09-2026" sheetId="5" r:id="rId5"/>
    <sheet name="05-09-2026" sheetId="6" r:id="rId6"/>
    <sheet name="06-09-2026" sheetId="7" r:id="rId7"/>
    <sheet name="07-09-2026" sheetId="8" r:id="rId8"/>
    <sheet name="08-09-2026" sheetId="10" r:id="rId9"/>
    <sheet name="09-09-2026" sheetId="12" r:id="rId10"/>
    <sheet name="10-09-2026" sheetId="13" r:id="rId11"/>
    <sheet name="11-09-2026" sheetId="14" r:id="rId12"/>
    <sheet name="12-09-2026" sheetId="15" r:id="rId13"/>
    <sheet name="13-09-2026" sheetId="16" r:id="rId14"/>
    <sheet name="14-09-2026" sheetId="17" r:id="rId15"/>
    <sheet name="15-09-2026" sheetId="18" r:id="rId16"/>
    <sheet name="16-09-2026" sheetId="19" r:id="rId17"/>
    <sheet name="17-09-2026" sheetId="20" r:id="rId18"/>
    <sheet name="18-09-2026" sheetId="22" r:id="rId19"/>
    <sheet name="19-09-2026" sheetId="26" r:id="rId20"/>
    <sheet name="20-09-2026" sheetId="27" r:id="rId21"/>
    <sheet name="21-09-2026" sheetId="23" r:id="rId22"/>
    <sheet name="22-09-2026" sheetId="24" r:id="rId23"/>
    <sheet name="23-09-2026" sheetId="25" r:id="rId24"/>
    <sheet name="24-09-2026" sheetId="31" r:id="rId25"/>
    <sheet name="25-09-2026" sheetId="32" r:id="rId2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3" i="32" l="1"/>
  <c r="D26" i="2"/>
  <c r="C26" i="2"/>
  <c r="B26" i="2"/>
  <c r="D25" i="2"/>
  <c r="C25" i="2"/>
  <c r="B25" i="2"/>
  <c r="C15" i="2"/>
  <c r="C62" i="31"/>
  <c r="D24" i="2"/>
  <c r="C24" i="2"/>
  <c r="B24" i="2"/>
  <c r="D23" i="2"/>
  <c r="C23" i="2"/>
  <c r="B23" i="2"/>
  <c r="D22" i="2"/>
  <c r="C22" i="2"/>
  <c r="B22" i="2"/>
  <c r="D21" i="2"/>
  <c r="C21" i="2"/>
  <c r="B21" i="2"/>
  <c r="D20" i="2"/>
  <c r="B20" i="2"/>
  <c r="C20" i="2"/>
  <c r="C62" i="27"/>
  <c r="C62" i="26"/>
  <c r="C19" i="2"/>
  <c r="D19" i="2"/>
  <c r="E19" i="2"/>
  <c r="C62" i="25"/>
  <c r="E26" i="2" l="1"/>
  <c r="E25" i="2"/>
  <c r="E24" i="2"/>
  <c r="E23" i="2"/>
  <c r="E22" i="2"/>
  <c r="E21" i="2"/>
  <c r="C63" i="24"/>
  <c r="C62" i="23"/>
  <c r="B19" i="2"/>
  <c r="C62" i="22"/>
  <c r="B18" i="2"/>
  <c r="B17" i="2"/>
  <c r="C17" i="2"/>
  <c r="C18" i="2"/>
  <c r="D18" i="2"/>
  <c r="D17" i="2"/>
  <c r="D16" i="2"/>
  <c r="C16" i="2"/>
  <c r="B16" i="2"/>
  <c r="D15" i="2"/>
  <c r="B15" i="2"/>
  <c r="D14" i="2"/>
  <c r="C14" i="2"/>
  <c r="E14" i="2" s="1"/>
  <c r="B14" i="2"/>
  <c r="D13" i="2"/>
  <c r="C13" i="2"/>
  <c r="B13" i="2"/>
  <c r="E13" i="2" s="1"/>
  <c r="E16" i="2"/>
  <c r="E17" i="2"/>
  <c r="C61" i="20"/>
  <c r="C61" i="19"/>
  <c r="C61" i="18"/>
  <c r="C61" i="17"/>
  <c r="C61" i="16"/>
  <c r="C61" i="15"/>
  <c r="D12" i="2"/>
  <c r="C12" i="2"/>
  <c r="B12" i="2"/>
  <c r="C62" i="14"/>
  <c r="D11" i="2"/>
  <c r="C11" i="2"/>
  <c r="B11" i="2"/>
  <c r="C62" i="13"/>
  <c r="D10" i="2"/>
  <c r="C10" i="2"/>
  <c r="B10" i="2"/>
  <c r="C62" i="12"/>
  <c r="C62" i="10"/>
  <c r="D9" i="2"/>
  <c r="C9" i="2"/>
  <c r="B9" i="2"/>
  <c r="C8" i="2"/>
  <c r="D8" i="2"/>
  <c r="D7" i="2"/>
  <c r="C7" i="2"/>
  <c r="B8" i="2"/>
  <c r="B7" i="2"/>
  <c r="D6" i="2"/>
  <c r="C6" i="2"/>
  <c r="B6" i="2"/>
  <c r="C62" i="8"/>
  <c r="C61" i="7"/>
  <c r="C61" i="6"/>
  <c r="C61" i="5"/>
  <c r="D5" i="2"/>
  <c r="C5" i="2"/>
  <c r="B5" i="2"/>
  <c r="D4" i="2"/>
  <c r="C4" i="2"/>
  <c r="B4" i="2"/>
  <c r="C61" i="4"/>
  <c r="D3" i="2"/>
  <c r="C3" i="2"/>
  <c r="B3" i="2"/>
  <c r="C62" i="3"/>
  <c r="D2" i="2"/>
  <c r="C2" i="2"/>
  <c r="E2" i="2" s="1"/>
  <c r="B2" i="2"/>
  <c r="C62" i="1"/>
  <c r="E18" i="2" l="1"/>
  <c r="E15" i="2"/>
  <c r="E12" i="2"/>
  <c r="E11" i="2"/>
  <c r="E10" i="2"/>
  <c r="E9" i="2"/>
  <c r="E7" i="2"/>
  <c r="E8" i="2"/>
  <c r="E6" i="2"/>
  <c r="E5" i="2"/>
  <c r="E3" i="2"/>
  <c r="E4" i="2"/>
  <c r="E20" i="2"/>
</calcChain>
</file>

<file path=xl/sharedStrings.xml><?xml version="1.0" encoding="utf-8"?>
<sst xmlns="http://schemas.openxmlformats.org/spreadsheetml/2006/main" count="6138" uniqueCount="547">
  <si>
    <t>Stations</t>
  </si>
  <si>
    <t>Bank Account</t>
  </si>
  <si>
    <t>Amount</t>
  </si>
  <si>
    <t>Depositor's Name</t>
  </si>
  <si>
    <t>Trans. Ref</t>
  </si>
  <si>
    <t>Lodgement Time</t>
  </si>
  <si>
    <t>Confirmed Y/N</t>
  </si>
  <si>
    <t>Confirmed By</t>
  </si>
  <si>
    <t>Agbara 1</t>
  </si>
  <si>
    <t>ZENITH</t>
  </si>
  <si>
    <t>ADEKUNLE IBIKUNLE</t>
  </si>
  <si>
    <t>NO</t>
  </si>
  <si>
    <t>Agodi OBX</t>
  </si>
  <si>
    <t>FCMB</t>
  </si>
  <si>
    <t>ALABI OMOWUNMI</t>
  </si>
  <si>
    <t>YES</t>
  </si>
  <si>
    <t>ABIMBOLA</t>
  </si>
  <si>
    <t>Alegi SGX</t>
  </si>
  <si>
    <t>Apata SGR</t>
  </si>
  <si>
    <t>BABATUNDE EBENEZER</t>
  </si>
  <si>
    <t>Bodija OBX</t>
  </si>
  <si>
    <t>IYIOLA QUADRI</t>
  </si>
  <si>
    <t>Cargo 1 OBX</t>
  </si>
  <si>
    <t>KOLAWOLE EDUN</t>
  </si>
  <si>
    <t>Cargo 2 OBX</t>
  </si>
  <si>
    <t>UNION</t>
  </si>
  <si>
    <t>JINAUD IBRAHIM</t>
  </si>
  <si>
    <t>LAWRENCE</t>
  </si>
  <si>
    <t>Challenge OBX</t>
  </si>
  <si>
    <t>ASISAT</t>
  </si>
  <si>
    <t>Guru OBX</t>
  </si>
  <si>
    <t>Iba 1</t>
  </si>
  <si>
    <t>IBA 2</t>
  </si>
  <si>
    <t>Ife 1 OBX</t>
  </si>
  <si>
    <t>ADEDIRAN MEMUNAT</t>
  </si>
  <si>
    <t>Ife 2 OBX</t>
  </si>
  <si>
    <t>AKORIN OLAITAN</t>
  </si>
  <si>
    <t>Ife 3 OBX</t>
  </si>
  <si>
    <t>TEMIDAYO DAVID</t>
  </si>
  <si>
    <t>Igbesa AGS</t>
  </si>
  <si>
    <t>Ijebu 1 SGR</t>
  </si>
  <si>
    <t>BABATUNDE AJAWESORO</t>
  </si>
  <si>
    <t>Ijebu 2 SGR</t>
  </si>
  <si>
    <t>Interchange SGR</t>
  </si>
  <si>
    <t>Itamaga SGR</t>
  </si>
  <si>
    <t>BARAKAT</t>
  </si>
  <si>
    <t>Iwo 1 OBX</t>
  </si>
  <si>
    <t>FUNMILAYO TALABI</t>
  </si>
  <si>
    <t>9.55AM</t>
  </si>
  <si>
    <t>Iwo 2 Monatan OBX</t>
  </si>
  <si>
    <t>SAHEED ADEBOWALE</t>
  </si>
  <si>
    <t>Jah Michael TA</t>
  </si>
  <si>
    <t>Moniya OBX</t>
  </si>
  <si>
    <t>Mowe SGR</t>
  </si>
  <si>
    <t>OWOYELE BUKOLA</t>
  </si>
  <si>
    <t>Ogbomoso 1</t>
  </si>
  <si>
    <t>JIDE OYEWOLE</t>
  </si>
  <si>
    <t>Ogbomoso 2</t>
  </si>
  <si>
    <t>OGUNSOLA ADEMOLA</t>
  </si>
  <si>
    <t>Ogere 1</t>
  </si>
  <si>
    <t>Ogere 2</t>
  </si>
  <si>
    <t>Ogijo</t>
  </si>
  <si>
    <t>AFOLABI MUBARAK</t>
  </si>
  <si>
    <t>Ojoo</t>
  </si>
  <si>
    <t>Olomi 1</t>
  </si>
  <si>
    <t>Olomi 2</t>
  </si>
  <si>
    <t>ASAKULA TAIWO</t>
  </si>
  <si>
    <t>Olorunsogo</t>
  </si>
  <si>
    <t>ADEPEJU TITILAYO</t>
  </si>
  <si>
    <t>Oyo Ilora</t>
  </si>
  <si>
    <t>ABIOLA</t>
  </si>
  <si>
    <t>Sagam 1</t>
  </si>
  <si>
    <t>GBADEBO TEMITOPE</t>
  </si>
  <si>
    <t>Sagam 2</t>
  </si>
  <si>
    <t>AJAYI ENIOLA</t>
  </si>
  <si>
    <t>Sagam 3</t>
  </si>
  <si>
    <t>Sagam 4</t>
  </si>
  <si>
    <t>OLUWABUSOLAMI</t>
  </si>
  <si>
    <t>Shapade</t>
  </si>
  <si>
    <t>Sango</t>
  </si>
  <si>
    <t>Tollgate</t>
  </si>
  <si>
    <t>Epe1</t>
  </si>
  <si>
    <t>AYOBAMI</t>
  </si>
  <si>
    <t>Lekki 1</t>
  </si>
  <si>
    <t>OLOKUNGBOYE ADEWURA</t>
  </si>
  <si>
    <t>Lekki 2</t>
  </si>
  <si>
    <t>POPOOLA TAIWO</t>
  </si>
  <si>
    <t>Lekki 3</t>
  </si>
  <si>
    <t>SUSAN GEBI</t>
  </si>
  <si>
    <t>Ipaja</t>
  </si>
  <si>
    <t>JIMOH TAOFEEK</t>
  </si>
  <si>
    <t>Ijegun 1</t>
  </si>
  <si>
    <t>KUNLE</t>
  </si>
  <si>
    <t>Ajah</t>
  </si>
  <si>
    <t>OYEBOLA RASHEED</t>
  </si>
  <si>
    <t>Eleko 1</t>
  </si>
  <si>
    <t>Eleko 2</t>
  </si>
  <si>
    <t>POPOOLA KEHINDE</t>
  </si>
  <si>
    <t>Epe 2</t>
  </si>
  <si>
    <t>OLAMIDE</t>
  </si>
  <si>
    <t>Ijegun 2</t>
  </si>
  <si>
    <t>ADEWALE MICHEAL ODEYEMI</t>
  </si>
  <si>
    <t>Igbogbo SGR</t>
  </si>
  <si>
    <t>AZEEZ</t>
  </si>
  <si>
    <t>Agege SGR</t>
  </si>
  <si>
    <t>BOLUWATIFE</t>
  </si>
  <si>
    <t>Imota 1 SGR</t>
  </si>
  <si>
    <t>MAKINDE LANRE</t>
  </si>
  <si>
    <t>Imota 2 SGR</t>
  </si>
  <si>
    <t>Ifo SGR</t>
  </si>
  <si>
    <t>BUSAYO VICTOR</t>
  </si>
  <si>
    <t>Igando SGR</t>
  </si>
  <si>
    <t>AYOBAMI AWOLOLA</t>
  </si>
  <si>
    <t>Ojogbe</t>
  </si>
  <si>
    <t>TOTAL</t>
  </si>
  <si>
    <t>ADEBAYO OLAYINKA</t>
  </si>
  <si>
    <t>FJB2624483682717</t>
  </si>
  <si>
    <t>8.55AM</t>
  </si>
  <si>
    <t>OLAYEMI ELEGBEDE</t>
  </si>
  <si>
    <t>11.02AM</t>
  </si>
  <si>
    <t>11.16AM</t>
  </si>
  <si>
    <t>10.22AM</t>
  </si>
  <si>
    <t>10.46AM</t>
  </si>
  <si>
    <t>10.34AM</t>
  </si>
  <si>
    <t>FJB2624483700326</t>
  </si>
  <si>
    <t>12.14PM</t>
  </si>
  <si>
    <t>12.37PM</t>
  </si>
  <si>
    <t>12.19PM</t>
  </si>
  <si>
    <t>ADENIJI ADUNOLA</t>
  </si>
  <si>
    <t>12.38PM</t>
  </si>
  <si>
    <t>DONALD NWAKWO</t>
  </si>
  <si>
    <t>2.25PM</t>
  </si>
  <si>
    <t>DEBORAH AYENI</t>
  </si>
  <si>
    <t>2.44PM</t>
  </si>
  <si>
    <t>2.42PM</t>
  </si>
  <si>
    <t>HARUNA IYAA</t>
  </si>
  <si>
    <t>OJUMOOLA</t>
  </si>
  <si>
    <t>TAIWO BUKOLA</t>
  </si>
  <si>
    <t>FJB2624483713823</t>
  </si>
  <si>
    <t>2.43PM</t>
  </si>
  <si>
    <t>Date</t>
  </si>
  <si>
    <t>Zenith</t>
  </si>
  <si>
    <t>Union</t>
  </si>
  <si>
    <t>FJB2624583732568</t>
  </si>
  <si>
    <t>8.59AM</t>
  </si>
  <si>
    <t>MUSA OWOLABI</t>
  </si>
  <si>
    <t>9.43AM</t>
  </si>
  <si>
    <t>9.35AM</t>
  </si>
  <si>
    <t>9.48AM</t>
  </si>
  <si>
    <t>11.39AM</t>
  </si>
  <si>
    <t>FJB2624583739283</t>
  </si>
  <si>
    <t>12.05PM</t>
  </si>
  <si>
    <t>GBOLAGADE AYOMIKUN</t>
  </si>
  <si>
    <t>1.51PM</t>
  </si>
  <si>
    <t>3.13PM</t>
  </si>
  <si>
    <t>2.08PM</t>
  </si>
  <si>
    <t>FJB2624583788988</t>
  </si>
  <si>
    <t>4.14PM</t>
  </si>
  <si>
    <t>MICHEAL</t>
  </si>
  <si>
    <t>FJB2624583756317</t>
  </si>
  <si>
    <t>4.06PM</t>
  </si>
  <si>
    <t>12.39PM</t>
  </si>
  <si>
    <t>1.57PM</t>
  </si>
  <si>
    <t>5.53AM</t>
  </si>
  <si>
    <t>FJB2624683773372</t>
  </si>
  <si>
    <t>8.38AM</t>
  </si>
  <si>
    <t>10.50AM</t>
  </si>
  <si>
    <t>10.54AM</t>
  </si>
  <si>
    <t>DONALD NWANKWO</t>
  </si>
  <si>
    <t>11.43AM</t>
  </si>
  <si>
    <t>POPOOLA OYINKANSOLA</t>
  </si>
  <si>
    <t>FJB2624683781282</t>
  </si>
  <si>
    <t>12.43PM</t>
  </si>
  <si>
    <t>12.31PM</t>
  </si>
  <si>
    <t>1.52PM</t>
  </si>
  <si>
    <t>1.47PM</t>
  </si>
  <si>
    <t>2.03PM</t>
  </si>
  <si>
    <t>FJB2624683784991</t>
  </si>
  <si>
    <t>2.41PM</t>
  </si>
  <si>
    <t>FJB2624583785861</t>
  </si>
  <si>
    <t>2.48PM</t>
  </si>
  <si>
    <t>FJB2624683786260</t>
  </si>
  <si>
    <t>2.58PM</t>
  </si>
  <si>
    <t>OGUNBIYI JOEL</t>
  </si>
  <si>
    <t>6.29PM</t>
  </si>
  <si>
    <t>FJB2624783800490</t>
  </si>
  <si>
    <t>10.28AM</t>
  </si>
  <si>
    <t>10.40AM</t>
  </si>
  <si>
    <t>ESTHER</t>
  </si>
  <si>
    <t>QUAZEEM</t>
  </si>
  <si>
    <t>10.42AM</t>
  </si>
  <si>
    <t>9.57AM</t>
  </si>
  <si>
    <t>FJB2624783810305</t>
  </si>
  <si>
    <t>11.24AM</t>
  </si>
  <si>
    <t>10.47AM</t>
  </si>
  <si>
    <t>C</t>
  </si>
  <si>
    <t>11.44AM</t>
  </si>
  <si>
    <t>12.51PM</t>
  </si>
  <si>
    <t>FJB2624783823881</t>
  </si>
  <si>
    <t>12.57PM</t>
  </si>
  <si>
    <t>1.11PM</t>
  </si>
  <si>
    <t>OLUSEYI EMMANUEL</t>
  </si>
  <si>
    <t>2.57PM</t>
  </si>
  <si>
    <t>E</t>
  </si>
  <si>
    <t>FJB2624783830420</t>
  </si>
  <si>
    <t>3.47PM</t>
  </si>
  <si>
    <t>2.14PM</t>
  </si>
  <si>
    <t>FADENI &amp; SONS</t>
  </si>
  <si>
    <t>7.25AM</t>
  </si>
  <si>
    <t>6.38AM</t>
  </si>
  <si>
    <t>7.07AM</t>
  </si>
  <si>
    <t>FJB262583852908</t>
  </si>
  <si>
    <t>9.04AM</t>
  </si>
  <si>
    <t>BUSAYO IDOWU</t>
  </si>
  <si>
    <t>10.12AM</t>
  </si>
  <si>
    <t>POPOOLA ADISA</t>
  </si>
  <si>
    <t>10.10AM</t>
  </si>
  <si>
    <t>12.21PM</t>
  </si>
  <si>
    <t>FJB265083871277</t>
  </si>
  <si>
    <t>12.27PM</t>
  </si>
  <si>
    <t>11.57AM</t>
  </si>
  <si>
    <t>11.32AM</t>
  </si>
  <si>
    <t>FJB2625083863247</t>
  </si>
  <si>
    <t>12.08PM</t>
  </si>
  <si>
    <t>FJB2625083865341</t>
  </si>
  <si>
    <t>1.13PM</t>
  </si>
  <si>
    <t>12.20PM</t>
  </si>
  <si>
    <t>1.30PM</t>
  </si>
  <si>
    <t>POPOOLA OYNKANSOLA</t>
  </si>
  <si>
    <t>2.35PM</t>
  </si>
  <si>
    <t>3.12PM</t>
  </si>
  <si>
    <t>2.51PM</t>
  </si>
  <si>
    <t>FJB2625083881137</t>
  </si>
  <si>
    <t>4.21PM</t>
  </si>
  <si>
    <t>OWOLABI</t>
  </si>
  <si>
    <t>7.34AM</t>
  </si>
  <si>
    <t>9.09AM</t>
  </si>
  <si>
    <t>10.14AM</t>
  </si>
  <si>
    <t>10.17AM</t>
  </si>
  <si>
    <t>OLAYINKA ADEBAYO</t>
  </si>
  <si>
    <t>10.18AM</t>
  </si>
  <si>
    <t>12.01PM</t>
  </si>
  <si>
    <t>12.18PM</t>
  </si>
  <si>
    <t>MUBARAK AFOLABI</t>
  </si>
  <si>
    <t>BARIU OLUSESI</t>
  </si>
  <si>
    <t>10.09AM</t>
  </si>
  <si>
    <t>12.22PM</t>
  </si>
  <si>
    <t>FJB2625183904990</t>
  </si>
  <si>
    <t>1.25PM</t>
  </si>
  <si>
    <t>FJB2625183914958</t>
  </si>
  <si>
    <t>1.55PM</t>
  </si>
  <si>
    <t>2.32PM</t>
  </si>
  <si>
    <t>3.02PM</t>
  </si>
  <si>
    <t>11.34AM</t>
  </si>
  <si>
    <t>4.04PM</t>
  </si>
  <si>
    <t>FJB2625183888901</t>
  </si>
  <si>
    <t>FJB2625283928873</t>
  </si>
  <si>
    <t>8.58AM</t>
  </si>
  <si>
    <t>9.13AM</t>
  </si>
  <si>
    <t>MOIBI SUNDAY</t>
  </si>
  <si>
    <t>9.51AM</t>
  </si>
  <si>
    <t>10.05AM</t>
  </si>
  <si>
    <t>11.58AM</t>
  </si>
  <si>
    <t>FJB2625283836983</t>
  </si>
  <si>
    <t>12.12PM</t>
  </si>
  <si>
    <t>12.17AM</t>
  </si>
  <si>
    <t>10.55AM</t>
  </si>
  <si>
    <t>FJB2625283930614</t>
  </si>
  <si>
    <t>ABOLAGADE AYOMIKUN</t>
  </si>
  <si>
    <t>2.29PM</t>
  </si>
  <si>
    <t>FJB2625283944540</t>
  </si>
  <si>
    <t>2.34PM</t>
  </si>
  <si>
    <t>FJB2625283851883</t>
  </si>
  <si>
    <t>3.21PM</t>
  </si>
  <si>
    <t>2.12PM</t>
  </si>
  <si>
    <t>1.53PM</t>
  </si>
  <si>
    <t>3.54PM</t>
  </si>
  <si>
    <t xml:space="preserve">C   </t>
  </si>
  <si>
    <t>FJB2625383958938</t>
  </si>
  <si>
    <t>8.57AM</t>
  </si>
  <si>
    <t>10.36AM</t>
  </si>
  <si>
    <t>FJB2625383973399</t>
  </si>
  <si>
    <t>FJB26253839782425</t>
  </si>
  <si>
    <t>12.34PM</t>
  </si>
  <si>
    <t>2.13PM</t>
  </si>
  <si>
    <t>1.12PM</t>
  </si>
  <si>
    <t>FJB2625383981496</t>
  </si>
  <si>
    <t>12.02PM</t>
  </si>
  <si>
    <t>FJB2625383984</t>
  </si>
  <si>
    <t>2.52PM</t>
  </si>
  <si>
    <t>12.46PM</t>
  </si>
  <si>
    <t>4.02PM</t>
  </si>
  <si>
    <t>FJB2625383887615</t>
  </si>
  <si>
    <t>4.25PM</t>
  </si>
  <si>
    <t>OLUNIYI OLANIRAN</t>
  </si>
  <si>
    <t>9.10AM</t>
  </si>
  <si>
    <t>7.30AM</t>
  </si>
  <si>
    <t>FJB2625483998788</t>
  </si>
  <si>
    <t>8.40AM</t>
  </si>
  <si>
    <t>FJB2625483998766</t>
  </si>
  <si>
    <t>9.30AM</t>
  </si>
  <si>
    <t>10.26AM</t>
  </si>
  <si>
    <t>9.32AM</t>
  </si>
  <si>
    <t>11.30AM</t>
  </si>
  <si>
    <t>11.47AM</t>
  </si>
  <si>
    <t>FJB2625484018271</t>
  </si>
  <si>
    <t>12.36PM</t>
  </si>
  <si>
    <t>OLUSEGUN GBENLE</t>
  </si>
  <si>
    <t>12.45PM</t>
  </si>
  <si>
    <t>LAWRNCE</t>
  </si>
  <si>
    <t>1.43PM</t>
  </si>
  <si>
    <t>FJB2625484020273</t>
  </si>
  <si>
    <t>2.07PM</t>
  </si>
  <si>
    <t>ADEWURA</t>
  </si>
  <si>
    <t>FJB2625484009318</t>
  </si>
  <si>
    <t>4.23PM</t>
  </si>
  <si>
    <t>12.16PM</t>
  </si>
  <si>
    <t>6.49AM</t>
  </si>
  <si>
    <t>FJB2625784035022</t>
  </si>
  <si>
    <t>9:35AM</t>
  </si>
  <si>
    <t>MARY</t>
  </si>
  <si>
    <t>FJB2625784036305</t>
  </si>
  <si>
    <t>9:11AM</t>
  </si>
  <si>
    <t>ABDULSALAM OPEYEMI</t>
  </si>
  <si>
    <t>9:52AM</t>
  </si>
  <si>
    <t>11:21AM</t>
  </si>
  <si>
    <t>ABIODUN</t>
  </si>
  <si>
    <t>FJB2625784</t>
  </si>
  <si>
    <t>11:35AM</t>
  </si>
  <si>
    <t>FJB2825784049</t>
  </si>
  <si>
    <t>12:30PM</t>
  </si>
  <si>
    <t>12:24PM</t>
  </si>
  <si>
    <t>OLADELE FOLASADE</t>
  </si>
  <si>
    <t>1:05PM</t>
  </si>
  <si>
    <t>FJB262578405</t>
  </si>
  <si>
    <t>01:17PM</t>
  </si>
  <si>
    <t>FJB2625784040</t>
  </si>
  <si>
    <t>11:29PM</t>
  </si>
  <si>
    <t>11:09AM</t>
  </si>
  <si>
    <t>2:22PM</t>
  </si>
  <si>
    <t>3:09PM</t>
  </si>
  <si>
    <t>FJB262578840</t>
  </si>
  <si>
    <t>03:48PM</t>
  </si>
  <si>
    <t>OLAWUNMI</t>
  </si>
  <si>
    <t>1:17PM</t>
  </si>
  <si>
    <t>FJB2625884074107</t>
  </si>
  <si>
    <t>8:41AM</t>
  </si>
  <si>
    <t>FJB2025884083210</t>
  </si>
  <si>
    <t>9:34AM</t>
  </si>
  <si>
    <t>9:32AM</t>
  </si>
  <si>
    <t>FJB2625884078</t>
  </si>
  <si>
    <t>10:46AM</t>
  </si>
  <si>
    <t>FJB2625884</t>
  </si>
  <si>
    <t>FJB2825884085</t>
  </si>
  <si>
    <t>12:09PM</t>
  </si>
  <si>
    <t>FJB282588</t>
  </si>
  <si>
    <t>11:11AM</t>
  </si>
  <si>
    <t>12:37PM</t>
  </si>
  <si>
    <t>FJB262588408</t>
  </si>
  <si>
    <t>01:36PM</t>
  </si>
  <si>
    <t>1:38PM</t>
  </si>
  <si>
    <t>11:00AM</t>
  </si>
  <si>
    <t>02:04PM</t>
  </si>
  <si>
    <t>12:48PM</t>
  </si>
  <si>
    <t>FJB262588049</t>
  </si>
  <si>
    <t>01:40PM</t>
  </si>
  <si>
    <t>FJB2625984107</t>
  </si>
  <si>
    <t>08:38AM</t>
  </si>
  <si>
    <t>9:17AM</t>
  </si>
  <si>
    <t>09:53AM</t>
  </si>
  <si>
    <t>FJB2625984119</t>
  </si>
  <si>
    <t>10:47AM</t>
  </si>
  <si>
    <t>9:56AM</t>
  </si>
  <si>
    <t>FJB26259841104</t>
  </si>
  <si>
    <t>11:12AM</t>
  </si>
  <si>
    <t>10:33AM</t>
  </si>
  <si>
    <t>FJB2625984121</t>
  </si>
  <si>
    <t>11:44AM</t>
  </si>
  <si>
    <t>12:12PM</t>
  </si>
  <si>
    <t>12:29PM</t>
  </si>
  <si>
    <t>FJB2625984</t>
  </si>
  <si>
    <t>3:11PM</t>
  </si>
  <si>
    <t>3:31PM</t>
  </si>
  <si>
    <t>6:43AM</t>
  </si>
  <si>
    <t>FADENI &amp; SON</t>
  </si>
  <si>
    <t>fjb26260841</t>
  </si>
  <si>
    <t>08:49AM</t>
  </si>
  <si>
    <t>9:22AM</t>
  </si>
  <si>
    <t>FJB262608415</t>
  </si>
  <si>
    <t>11:06AM</t>
  </si>
  <si>
    <t>FJB2626084150</t>
  </si>
  <si>
    <t>FJB2626084152</t>
  </si>
  <si>
    <t>11:04AM</t>
  </si>
  <si>
    <t>OREBIYI AYOMIDE</t>
  </si>
  <si>
    <t>10:02AM</t>
  </si>
  <si>
    <t>11:46AM</t>
  </si>
  <si>
    <t>ABUBAKAR MUSA</t>
  </si>
  <si>
    <t>12:33PM</t>
  </si>
  <si>
    <t>FJB26260841</t>
  </si>
  <si>
    <t>1:35PM</t>
  </si>
  <si>
    <t>10:38AM</t>
  </si>
  <si>
    <t>FJB262608416</t>
  </si>
  <si>
    <t>03:42PM</t>
  </si>
  <si>
    <t>FJB2626184193512</t>
  </si>
  <si>
    <t>8.48AM</t>
  </si>
  <si>
    <t>9.49AM</t>
  </si>
  <si>
    <t>FJB2626184196923</t>
  </si>
  <si>
    <t>FJB26262518418</t>
  </si>
  <si>
    <t>AKEEM OLAITAN</t>
  </si>
  <si>
    <t>10.15AM</t>
  </si>
  <si>
    <t>11.12AM</t>
  </si>
  <si>
    <t>FJB2626184212858</t>
  </si>
  <si>
    <t>11.23AM</t>
  </si>
  <si>
    <t>10.35AM</t>
  </si>
  <si>
    <t>FOLUWASO</t>
  </si>
  <si>
    <t>12.10PM</t>
  </si>
  <si>
    <t>FJB2626184217457</t>
  </si>
  <si>
    <t>2.05PM</t>
  </si>
  <si>
    <t>2.23PM</t>
  </si>
  <si>
    <t>Ishashi</t>
  </si>
  <si>
    <t>OGUNMADE MICHEAL</t>
  </si>
  <si>
    <t>FJB2626184223222</t>
  </si>
  <si>
    <t>FJB262648420</t>
  </si>
  <si>
    <t>10:05AM</t>
  </si>
  <si>
    <t>10:31AM</t>
  </si>
  <si>
    <t>FJB2626484207</t>
  </si>
  <si>
    <t>10:07AM</t>
  </si>
  <si>
    <t>SONIYI AZEEZ</t>
  </si>
  <si>
    <t>FJB2626484209</t>
  </si>
  <si>
    <t>11:19AM</t>
  </si>
  <si>
    <t>KA10543</t>
  </si>
  <si>
    <t>ADE8119</t>
  </si>
  <si>
    <t>12:00PM</t>
  </si>
  <si>
    <t>10:58AM</t>
  </si>
  <si>
    <t>OYINKANSOLA</t>
  </si>
  <si>
    <t>AD114575</t>
  </si>
  <si>
    <t>11:49AM</t>
  </si>
  <si>
    <t>OLUSEGUN</t>
  </si>
  <si>
    <t>12:36PM</t>
  </si>
  <si>
    <t>12:21PM</t>
  </si>
  <si>
    <t>1:01PM</t>
  </si>
  <si>
    <t>FJB262648425</t>
  </si>
  <si>
    <t>01:14PM</t>
  </si>
  <si>
    <t>FJB2626484252</t>
  </si>
  <si>
    <t>01:48PM</t>
  </si>
  <si>
    <t>3:04PM</t>
  </si>
  <si>
    <t>AKANDE</t>
  </si>
  <si>
    <t>IFEOLUWA DOLAPO</t>
  </si>
  <si>
    <t>2:00PM</t>
  </si>
  <si>
    <t>ANJ22027</t>
  </si>
  <si>
    <t>MBA11829</t>
  </si>
  <si>
    <t>9:49AM</t>
  </si>
  <si>
    <t>FJB262658426</t>
  </si>
  <si>
    <t>9:01AM</t>
  </si>
  <si>
    <t>9:54AM</t>
  </si>
  <si>
    <t>10:19AM</t>
  </si>
  <si>
    <t>9:57AM</t>
  </si>
  <si>
    <t>10:56AM</t>
  </si>
  <si>
    <t>11:10AM</t>
  </si>
  <si>
    <t>11:02AM</t>
  </si>
  <si>
    <t>11:37AM</t>
  </si>
  <si>
    <t>FJB262658428</t>
  </si>
  <si>
    <t>11:38AM</t>
  </si>
  <si>
    <t>11:27AM</t>
  </si>
  <si>
    <t>MICHAEL</t>
  </si>
  <si>
    <t>FJB262658427</t>
  </si>
  <si>
    <t>11:52AM</t>
  </si>
  <si>
    <t>12:56PM</t>
  </si>
  <si>
    <t>2:36PM</t>
  </si>
  <si>
    <t>FJB262358</t>
  </si>
  <si>
    <t>02:10PM</t>
  </si>
  <si>
    <t>ISASHI</t>
  </si>
  <si>
    <t>EZEKIEL</t>
  </si>
  <si>
    <t>FJB2626584</t>
  </si>
  <si>
    <t>6:24PM</t>
  </si>
  <si>
    <t>AMINAT OLUWATOSIN</t>
  </si>
  <si>
    <t>8:48AM</t>
  </si>
  <si>
    <t>10:36AM</t>
  </si>
  <si>
    <t>FJB26268431</t>
  </si>
  <si>
    <t>9:12AM</t>
  </si>
  <si>
    <t>10:49AM</t>
  </si>
  <si>
    <t>FJB26268430</t>
  </si>
  <si>
    <t>9:42AM</t>
  </si>
  <si>
    <t>10:21AM</t>
  </si>
  <si>
    <t>11:32AM</t>
  </si>
  <si>
    <t>12:06PM</t>
  </si>
  <si>
    <t>FJB262684321</t>
  </si>
  <si>
    <t>12:50PM</t>
  </si>
  <si>
    <t>12:10PM</t>
  </si>
  <si>
    <t>12:39PM</t>
  </si>
  <si>
    <t>12:51PM</t>
  </si>
  <si>
    <t>FJB262666431</t>
  </si>
  <si>
    <t>01:11PM</t>
  </si>
  <si>
    <t>1:06PM</t>
  </si>
  <si>
    <t>FJB262668431</t>
  </si>
  <si>
    <t>01:08PM</t>
  </si>
  <si>
    <t>1:33PM</t>
  </si>
  <si>
    <t>2:17PM</t>
  </si>
  <si>
    <t>FJB262668432</t>
  </si>
  <si>
    <t>02:14PM</t>
  </si>
  <si>
    <t>GRACE KELAS</t>
  </si>
  <si>
    <t>01:12PM</t>
  </si>
  <si>
    <t>03:55PM</t>
  </si>
  <si>
    <t>2:25PM</t>
  </si>
  <si>
    <t>TALABI OLUFUNMILAYO</t>
  </si>
  <si>
    <t>FJB262678434</t>
  </si>
  <si>
    <t>9:03AM</t>
  </si>
  <si>
    <t>9:55AM</t>
  </si>
  <si>
    <t>10:16AM</t>
  </si>
  <si>
    <t>10:40AM</t>
  </si>
  <si>
    <t>FJB262678435</t>
  </si>
  <si>
    <t>11:01AM</t>
  </si>
  <si>
    <t>11:23AM</t>
  </si>
  <si>
    <t>FJB2626784</t>
  </si>
  <si>
    <t>FJB26267843</t>
  </si>
  <si>
    <t>12:34PM</t>
  </si>
  <si>
    <t>12:54PM</t>
  </si>
  <si>
    <t>12:45PM</t>
  </si>
  <si>
    <t>10:34PM</t>
  </si>
  <si>
    <t>12:53PM</t>
  </si>
  <si>
    <t>FJB2626784360</t>
  </si>
  <si>
    <t>02:05PM</t>
  </si>
  <si>
    <t>11:25AM</t>
  </si>
  <si>
    <t>FJB262678</t>
  </si>
  <si>
    <t>04:33PM</t>
  </si>
  <si>
    <t>6.44PM</t>
  </si>
  <si>
    <t>7.13AM</t>
  </si>
  <si>
    <t>10.07AM</t>
  </si>
  <si>
    <t>10.13AM</t>
  </si>
  <si>
    <t>10.58AM</t>
  </si>
  <si>
    <t>ODUNOLA JANET</t>
  </si>
  <si>
    <t>10.53AM</t>
  </si>
  <si>
    <t>FJB2626864384981</t>
  </si>
  <si>
    <t>10.48AM</t>
  </si>
  <si>
    <t>11.27AM</t>
  </si>
  <si>
    <t>FJB2626884380728</t>
  </si>
  <si>
    <t>FJB2626884392013</t>
  </si>
  <si>
    <t>12.52PM</t>
  </si>
  <si>
    <t>FJB2626884392457</t>
  </si>
  <si>
    <t>12.47PM</t>
  </si>
  <si>
    <t>12.09PM</t>
  </si>
  <si>
    <t>1.39PM</t>
  </si>
  <si>
    <t>FJB2626884392433</t>
  </si>
  <si>
    <t>12.50PM</t>
  </si>
  <si>
    <t>2.47PM</t>
  </si>
  <si>
    <t>FJB2626884411270</t>
  </si>
  <si>
    <t>4.41PM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</si>
</sst>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43" fontId="2" fillId="0" borderId="0" xfId="1" applyFont="1" applyAlignment="1" applyProtection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vertical="center"/>
    </xf>
    <xf numFmtId="43" fontId="3" fillId="0" borderId="0" xfId="1" applyFont="1" applyProtection="1"/>
    <xf numFmtId="0" fontId="3" fillId="0" borderId="0" xfId="0" applyFont="1" applyAlignment="1">
      <alignment horizontal="center"/>
    </xf>
    <xf numFmtId="43" fontId="3" fillId="0" borderId="0" xfId="1" applyFont="1" applyAlignment="1" applyProtection="1">
      <alignment horizontal="left"/>
    </xf>
    <xf numFmtId="0" fontId="3" fillId="0" borderId="0" xfId="1" applyNumberFormat="1" applyFont="1" applyAlignment="1" applyProtection="1">
      <alignment horizontal="left"/>
    </xf>
    <xf numFmtId="0" fontId="3" fillId="0" borderId="0" xfId="1" applyNumberFormat="1" applyFont="1" applyAlignment="1" applyProtection="1">
      <alignment horizontal="center"/>
    </xf>
    <xf numFmtId="0" fontId="2" fillId="0" borderId="0" xfId="0" applyFont="1"/>
    <xf numFmtId="43" fontId="2" fillId="0" borderId="1" xfId="1" applyFont="1" applyBorder="1" applyProtection="1"/>
    <xf numFmtId="43" fontId="3" fillId="0" borderId="0" xfId="0" applyNumberFormat="1" applyFont="1"/>
    <xf numFmtId="43" fontId="2" fillId="0" borderId="0" xfId="1" applyFont="1" applyProtection="1"/>
    <xf numFmtId="14" fontId="3" fillId="0" borderId="0" xfId="0" applyNumberFormat="1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3" fontId="4" fillId="0" borderId="0" xfId="1" applyFont="1" applyAlignment="1" applyProtection="1">
      <alignment horizontal="left"/>
    </xf>
    <xf numFmtId="43" fontId="4" fillId="0" borderId="0" xfId="1" applyFont="1" applyProtection="1"/>
    <xf numFmtId="20" fontId="3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  <xf numFmtId="14" fontId="0" fillId="0" borderId="0" xfId="0" applyNumberFormat="1"/>
  </cellXfs>
  <cellStyles count="2">
    <cellStyle name="Comma" xfId="1" builtinId="3"/>
    <cellStyle name="Normal" xfId="0" builtinId="0"/>
  </cellStyles>
  <dxfs count="102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opLeftCell="A6" workbookViewId="0">
      <selection activeCell="E27" sqref="E27"/>
    </sheetView>
  </sheetViews>
  <sheetFormatPr defaultRowHeight="14.4" x14ac:dyDescent="0.3"/>
  <cols>
    <col min="1" max="1" width="10.5546875" bestFit="1" customWidth="1"/>
    <col min="2" max="2" width="14.33203125" bestFit="1" customWidth="1"/>
    <col min="3" max="3" width="15.33203125" bestFit="1" customWidth="1"/>
    <col min="4" max="4" width="14.5546875" customWidth="1"/>
    <col min="5" max="5" width="15.109375" bestFit="1" customWidth="1"/>
  </cols>
  <sheetData>
    <row r="1" spans="1:5" s="4" customFormat="1" x14ac:dyDescent="0.3">
      <c r="A1" s="1" t="s">
        <v>140</v>
      </c>
      <c r="B1" s="1" t="s">
        <v>141</v>
      </c>
      <c r="C1" s="1" t="s">
        <v>13</v>
      </c>
      <c r="D1" s="1" t="s">
        <v>142</v>
      </c>
      <c r="E1" s="1" t="s">
        <v>114</v>
      </c>
    </row>
    <row r="2" spans="1:5" s="4" customFormat="1" x14ac:dyDescent="0.3">
      <c r="A2" s="14">
        <v>46266</v>
      </c>
      <c r="B2" s="5">
        <f>SUMIFS('01-09-2026'!C:C,'01-09-2026'!B:B,"Zenith")</f>
        <v>22182300</v>
      </c>
      <c r="C2" s="5">
        <f>SUMIFS('01-09-2026'!C:C,'01-09-2026'!B:B,"FCMB")</f>
        <v>43078600</v>
      </c>
      <c r="D2" s="5">
        <f>SUMIFS('01-09-2026'!C:C,'01-09-2026'!B:B,"Union")</f>
        <v>15447550</v>
      </c>
      <c r="E2" s="13">
        <f>SUM(B2:D2)</f>
        <v>80708450</v>
      </c>
    </row>
    <row r="3" spans="1:5" x14ac:dyDescent="0.3">
      <c r="A3" s="14">
        <v>46267</v>
      </c>
      <c r="B3" s="5">
        <f>SUMIFS('02-09-2026'!C:C,'02-09-2026'!B:B,"Zenith")</f>
        <v>7829850</v>
      </c>
      <c r="C3" s="5">
        <f>SUMIFS('02-09-2026'!C:C,'02-09-2026'!B:B,"FCMB")</f>
        <v>50040375</v>
      </c>
      <c r="D3" s="5">
        <f>SUMIFS('02-09-2026'!C:C,'02-09-2026'!B:B,"Union")</f>
        <v>23630170</v>
      </c>
      <c r="E3" s="13">
        <f>SUM(B3:D3)</f>
        <v>81500395</v>
      </c>
    </row>
    <row r="4" spans="1:5" x14ac:dyDescent="0.3">
      <c r="A4" s="14">
        <v>46268</v>
      </c>
      <c r="B4" s="5">
        <f>SUMIFS('03-09-2026'!C:C,'03-09-2026'!B:B,"Zenith")</f>
        <v>19216500</v>
      </c>
      <c r="C4" s="5">
        <f>SUMIFS('03-09-2026'!C:C,'03-09-2026'!B:B,"FCMB")</f>
        <v>47119710</v>
      </c>
      <c r="D4" s="5">
        <f>SUMIFS('03-09-2026'!C:C,'03-09-2026'!B:B,"Union")</f>
        <v>18584450</v>
      </c>
      <c r="E4" s="13">
        <f>SUM(B4:D4)</f>
        <v>84920660</v>
      </c>
    </row>
    <row r="5" spans="1:5" x14ac:dyDescent="0.3">
      <c r="A5" s="14">
        <v>46269</v>
      </c>
      <c r="B5" s="5">
        <f>SUMIFS('04-09-2026'!C:C,'04-09-2026'!B:B,"Zenith")</f>
        <v>17635050</v>
      </c>
      <c r="C5" s="5">
        <f>SUMIFS('04-09-2026'!C:C,'04-09-2026'!B:B,"FCMB")</f>
        <v>51921400</v>
      </c>
      <c r="D5" s="5">
        <f>SUMIFS('04-09-2026'!C:C,'04-09-2026'!B:B,"Union")</f>
        <v>21693600</v>
      </c>
      <c r="E5" s="13">
        <f>SUM(B5:D5)</f>
        <v>91250050</v>
      </c>
    </row>
    <row r="6" spans="1:5" x14ac:dyDescent="0.3">
      <c r="A6" s="14">
        <v>46270</v>
      </c>
      <c r="B6" s="5">
        <f>SUMIFS('05-09-2026'!C:C,'05-09-2026'!B:B,"Zenith")</f>
        <v>0</v>
      </c>
      <c r="C6" s="5">
        <f>SUMIFS('05-09-2026'!C:C,'05-09-2026'!B:B,"FCMB")</f>
        <v>2000000</v>
      </c>
      <c r="D6" s="5">
        <f>SUMIFS('05-09-2026'!C:C,'05-09-2026'!B:B,"Union")</f>
        <v>0</v>
      </c>
      <c r="E6" s="13">
        <f t="shared" ref="E6:E8" si="0">SUM(B6:D6)</f>
        <v>2000000</v>
      </c>
    </row>
    <row r="7" spans="1:5" x14ac:dyDescent="0.3">
      <c r="A7" s="14">
        <v>46271</v>
      </c>
      <c r="B7" s="5">
        <f>SUMIFS('06-09-2026'!C:C,'06-09-2026'!B:B,"Zenith")</f>
        <v>0</v>
      </c>
      <c r="C7" s="5">
        <f>SUMIFS('06-09-2026'!C:C,'06-09-2026'!B:B,"FCMB")</f>
        <v>2000000</v>
      </c>
      <c r="D7" s="5">
        <f>SUMIFS('06-09-2026'!C:C,'06-09-2026'!B:B,"Union")</f>
        <v>0</v>
      </c>
      <c r="E7" s="13">
        <f t="shared" si="0"/>
        <v>2000000</v>
      </c>
    </row>
    <row r="8" spans="1:5" x14ac:dyDescent="0.3">
      <c r="A8" s="14">
        <v>46272</v>
      </c>
      <c r="B8" s="5">
        <f>SUMIFS('07-09-2026'!C:C,'07-09-2026'!B:B,"Zenith")</f>
        <v>63376600</v>
      </c>
      <c r="C8" s="5">
        <f>SUMIFS('07-09-2026'!C:C,'07-09-2026'!B:B,"FCMB")</f>
        <v>100717135</v>
      </c>
      <c r="D8" s="5">
        <f>SUMIFS('07-09-2026'!C:C,'07-09-2026'!B:B,"Union")</f>
        <v>57233890.5</v>
      </c>
      <c r="E8" s="13">
        <f t="shared" si="0"/>
        <v>221327625.5</v>
      </c>
    </row>
    <row r="9" spans="1:5" x14ac:dyDescent="0.3">
      <c r="A9" s="14">
        <v>46273</v>
      </c>
      <c r="B9" s="5">
        <f>SUMIFS('08-09-2026'!C:C,'08-09-2026'!B:B,"Zenith")</f>
        <v>24628401</v>
      </c>
      <c r="C9" s="5">
        <f>SUMIFS('08-09-2026'!C:C,'08-09-2026'!B:B,"FCMB")</f>
        <v>49156625</v>
      </c>
      <c r="D9" s="5">
        <f>SUMIFS('08-09-2026'!C:C,'08-09-2026'!B:B,"Union")</f>
        <v>24077840</v>
      </c>
      <c r="E9" s="13">
        <f t="shared" ref="E9" si="1">SUM(B9:D9)</f>
        <v>97862866</v>
      </c>
    </row>
    <row r="10" spans="1:5" x14ac:dyDescent="0.3">
      <c r="A10" s="14">
        <v>46274</v>
      </c>
      <c r="B10" s="5">
        <f>SUMIFS('09-09-2026'!C:C,'09-09-2026'!B:B,"Zenith")</f>
        <v>30697850</v>
      </c>
      <c r="C10" s="5">
        <f>SUMIFS('09-09-2026'!C:C,'09-09-2026'!B:B,"FCMB")</f>
        <v>44969835</v>
      </c>
      <c r="D10" s="5">
        <f>SUMIFS('09-09-2026'!C:C,'09-09-2026'!B:B,"Union")</f>
        <v>29181970</v>
      </c>
      <c r="E10" s="13">
        <f t="shared" ref="E10" si="2">SUM(B10:D10)</f>
        <v>104849655</v>
      </c>
    </row>
    <row r="11" spans="1:5" x14ac:dyDescent="0.3">
      <c r="A11" s="14">
        <v>46275</v>
      </c>
      <c r="B11" s="5">
        <f>SUMIFS('10-09-2026'!C:C,'10-09-2026'!B:B,"Zenith")</f>
        <v>19136450</v>
      </c>
      <c r="C11" s="5">
        <f>SUMIFS('10-09-2026'!C:C,'10-09-2026'!B:B,"FCMB")</f>
        <v>34190965</v>
      </c>
      <c r="D11" s="5">
        <f>SUMIFS('10-09-2026'!C:C,'10-09-2026'!B:B,"Union")</f>
        <v>21512370</v>
      </c>
      <c r="E11" s="13">
        <f t="shared" ref="E11" si="3">SUM(B11:D11)</f>
        <v>74839785</v>
      </c>
    </row>
    <row r="12" spans="1:5" x14ac:dyDescent="0.3">
      <c r="A12" s="14">
        <v>46276</v>
      </c>
      <c r="B12" s="5">
        <f>SUMIFS('11-09-2026'!C:C,'11-09-2026'!B:B,"Zenith")</f>
        <v>31132200</v>
      </c>
      <c r="C12" s="5">
        <f>SUMIFS('11-09-2026'!C:C,'11-09-2026'!B:B,"FCMB")</f>
        <v>47867125</v>
      </c>
      <c r="D12" s="5">
        <f>SUMIFS('11-09-2026'!C:C,'11-09-2026'!B:B,"Union")</f>
        <v>25590830</v>
      </c>
      <c r="E12" s="13">
        <f t="shared" ref="E12" si="4">SUM(B12:D12)</f>
        <v>104590155</v>
      </c>
    </row>
    <row r="13" spans="1:5" x14ac:dyDescent="0.3">
      <c r="A13" s="14">
        <v>46277</v>
      </c>
      <c r="B13" s="5">
        <f>SUMIFS('12-09-2026'!C:C,'12-09-2026'!B:B,"Zenith")</f>
        <v>0</v>
      </c>
      <c r="C13" s="5">
        <f>SUMIFS('12-09-2026'!C:C,'12-09-2026'!B:B,"FCMB")</f>
        <v>1000000</v>
      </c>
      <c r="D13" s="5">
        <f>SUMIFS('12-09-2026'!C:C,'12-09-2026'!B:B,"Union")</f>
        <v>0</v>
      </c>
      <c r="E13" s="13">
        <f t="shared" ref="E13:E18" si="5">SUM(B13:D13)</f>
        <v>1000000</v>
      </c>
    </row>
    <row r="14" spans="1:5" x14ac:dyDescent="0.3">
      <c r="A14" s="14">
        <v>46278</v>
      </c>
      <c r="B14" s="5">
        <f>SUMIFS('13-09-2026'!C:C,'13-09-2026'!B:B,"Zenith")</f>
        <v>0</v>
      </c>
      <c r="C14" s="5">
        <f>SUMIFS('13-09-2026'!C:C,'13-09-2026'!B:B,"FCMB")</f>
        <v>0</v>
      </c>
      <c r="D14" s="5">
        <f>SUMIFS('13-09-2026'!C:C,'13-09-2026'!B:B,"Union")</f>
        <v>0</v>
      </c>
      <c r="E14" s="13">
        <f t="shared" si="5"/>
        <v>0</v>
      </c>
    </row>
    <row r="15" spans="1:5" x14ac:dyDescent="0.3">
      <c r="A15" s="14">
        <v>46279</v>
      </c>
      <c r="B15" s="5">
        <f>SUMIFS('14-09-2026'!C:C,'14-09-2026'!B:B,"Zenith")</f>
        <v>58972150</v>
      </c>
      <c r="C15" s="5">
        <f>SUMIFS('14-09-2026'!C:C,'14-09-2026'!B:B,"FCMB")</f>
        <v>115257255</v>
      </c>
      <c r="D15" s="5">
        <f>SUMIFS('14-09-2026'!C:C,'14-09-2026'!B:B,"Union")</f>
        <v>57078520</v>
      </c>
      <c r="E15" s="13">
        <f t="shared" si="5"/>
        <v>231307925</v>
      </c>
    </row>
    <row r="16" spans="1:5" x14ac:dyDescent="0.3">
      <c r="A16" s="14">
        <v>46280</v>
      </c>
      <c r="B16" s="5">
        <f>SUMIFS('15-09-2026'!C:C,'15-09-2026'!B:B,"Zenith")</f>
        <v>18627500</v>
      </c>
      <c r="C16" s="5">
        <f>SUMIFS('15-09-2026'!C:C,'15-09-2026'!B:B,"FCMB")</f>
        <v>38485475</v>
      </c>
      <c r="D16" s="5">
        <f>SUMIFS('15-09-2026'!C:C,'15-09-2026'!B:B,"Union")</f>
        <v>26036340</v>
      </c>
      <c r="E16" s="13">
        <f t="shared" si="5"/>
        <v>83149315</v>
      </c>
    </row>
    <row r="17" spans="1:5" x14ac:dyDescent="0.3">
      <c r="A17" s="14">
        <v>46281</v>
      </c>
      <c r="B17" s="5">
        <f>SUMIFS('16-09-2026'!C:C,'16-09-2026'!B:B,"Zenith")</f>
        <v>18893600</v>
      </c>
      <c r="C17" s="5">
        <f>SUMIFS('16-09-2026'!C:C,'16-09-2026'!B:B,"FCMB")</f>
        <v>47779025</v>
      </c>
      <c r="D17" s="5">
        <f>SUMIFS('16-09-2026'!C:C,'16-09-2026'!B:B,"Union")</f>
        <v>20271200</v>
      </c>
      <c r="E17" s="13">
        <f t="shared" si="5"/>
        <v>86943825</v>
      </c>
    </row>
    <row r="18" spans="1:5" x14ac:dyDescent="0.3">
      <c r="A18" s="14">
        <v>46282</v>
      </c>
      <c r="B18" s="5">
        <f>SUMIFS('17-09-2026'!C:C,'17-09-2026'!B:B,"Zenith")</f>
        <v>23003450</v>
      </c>
      <c r="C18" s="5">
        <f>SUMIFS('17-09-2026'!C:C,'17-09-2026'!B:B,"FCMB")</f>
        <v>31502740</v>
      </c>
      <c r="D18" s="5">
        <f>SUMIFS('17-09-2026'!C:C,'17-09-2026'!B:B,"Union")</f>
        <v>24362800</v>
      </c>
      <c r="E18" s="13">
        <f t="shared" si="5"/>
        <v>78868990</v>
      </c>
    </row>
    <row r="19" spans="1:5" x14ac:dyDescent="0.3">
      <c r="A19" s="14">
        <v>46283</v>
      </c>
      <c r="B19" s="5">
        <f>SUMIFS('18-09-2026'!C:C,'18-09-2026'!B:B,"Zenith")</f>
        <v>32682600</v>
      </c>
      <c r="C19" s="5">
        <f>SUMIFS('18-09-2026'!C:C,'18-09-2026'!B:B,"FCMB")</f>
        <v>38668485</v>
      </c>
      <c r="D19" s="5">
        <f>SUMIFS('18-09-2026'!C:C,'18-09-2026'!B:B,"Union")</f>
        <v>32744180</v>
      </c>
      <c r="E19" s="13">
        <f t="shared" ref="E19" si="6">SUM(B19:D19)</f>
        <v>104095265</v>
      </c>
    </row>
    <row r="20" spans="1:5" x14ac:dyDescent="0.3">
      <c r="A20" s="21">
        <v>46284</v>
      </c>
      <c r="B20" s="5">
        <f>SUMIFS('19-09-2026'!C:C,'19-09-2026'!B:B,"Zenith")</f>
        <v>0</v>
      </c>
      <c r="C20" s="5">
        <f>SUMIFS('19-09-2026'!C:C,'19-09-2026'!B:B,"FCMB")</f>
        <v>0</v>
      </c>
      <c r="D20" s="5">
        <f>SUMIFS('19-09-2026'!C:C,'19-09-2026'!B:B,"Union")</f>
        <v>0</v>
      </c>
      <c r="E20" s="13">
        <f t="shared" ref="E20:E25" si="7">SUM(B20:D20)</f>
        <v>0</v>
      </c>
    </row>
    <row r="21" spans="1:5" x14ac:dyDescent="0.3">
      <c r="A21" s="21">
        <v>46285</v>
      </c>
      <c r="B21" s="5">
        <f>SUMIFS('20-09-2026'!C:C,'20-09-2026'!B:B,"Zenith")</f>
        <v>0</v>
      </c>
      <c r="C21" s="5">
        <f>SUMIFS('20-09-2026'!C:C,'20-09-2026'!B:B,"FCMB")</f>
        <v>0</v>
      </c>
      <c r="D21" s="5">
        <f>SUMIFS('20-09-2026'!C:C,'20-09-2026'!B:B,"Union")</f>
        <v>0</v>
      </c>
      <c r="E21" s="13">
        <f t="shared" si="7"/>
        <v>0</v>
      </c>
    </row>
    <row r="22" spans="1:5" x14ac:dyDescent="0.3">
      <c r="A22" s="21">
        <v>46286</v>
      </c>
      <c r="B22" s="5">
        <f>SUMIFS('21-09-2026'!C:C,'21-09-2026'!B:B,"Zenith")</f>
        <v>90748750</v>
      </c>
      <c r="C22" s="5">
        <f>SUMIFS('21-09-2026'!C:C,'21-09-2026'!B:B,"FCMB")</f>
        <v>125393290</v>
      </c>
      <c r="D22" s="5">
        <f>SUMIFS('21-09-2026'!C:C,'21-09-2026'!B:B,"Union")</f>
        <v>64740190</v>
      </c>
      <c r="E22" s="13">
        <f t="shared" si="7"/>
        <v>280882230</v>
      </c>
    </row>
    <row r="23" spans="1:5" x14ac:dyDescent="0.3">
      <c r="A23" s="21">
        <v>46287</v>
      </c>
      <c r="B23" s="5">
        <f>SUMIFS('22-09-2026'!C:C,'22-09-2026'!B:B,"Zenith")</f>
        <v>30538800</v>
      </c>
      <c r="C23" s="5">
        <f>SUMIFS('22-09-2026'!C:C,'22-09-2026'!B:B,"FCMB")</f>
        <v>53885640</v>
      </c>
      <c r="D23" s="5">
        <f>SUMIFS('22-09-2026'!C:C,'22-09-2026'!B:B,"Union")</f>
        <v>64546120</v>
      </c>
      <c r="E23" s="13">
        <f t="shared" si="7"/>
        <v>148970560</v>
      </c>
    </row>
    <row r="24" spans="1:5" x14ac:dyDescent="0.3">
      <c r="A24" s="21">
        <v>46288</v>
      </c>
      <c r="B24" s="5">
        <f>SUMIFS('23-09-2026'!C:C,'23-09-2026'!B:B,"Zenith")</f>
        <v>26238000</v>
      </c>
      <c r="C24" s="5">
        <f>SUMIFS('23-09-2026'!C:C,'23-09-2026'!B:B,"FCMB")</f>
        <v>64536820</v>
      </c>
      <c r="D24" s="5">
        <f>SUMIFS('23-09-2026'!C:C,'23-09-2026'!B:B,"Union")</f>
        <v>37115980</v>
      </c>
      <c r="E24" s="13">
        <f t="shared" si="7"/>
        <v>127890800</v>
      </c>
    </row>
    <row r="25" spans="1:5" x14ac:dyDescent="0.3">
      <c r="A25" s="21">
        <v>46289</v>
      </c>
      <c r="B25" s="5">
        <f>SUMIFS('24-09-2026'!C:C,'24-09-2026'!B:B,"Zenith")</f>
        <v>20008900</v>
      </c>
      <c r="C25" s="5">
        <f>SUMIFS('24-09-2026'!C:C,'24-09-2026'!B:B,"FCMB")</f>
        <v>41422565</v>
      </c>
      <c r="D25" s="5">
        <f>SUMIFS('24-09-2026'!C:C,'24-09-2026'!B:B,"Union")</f>
        <v>31207580</v>
      </c>
      <c r="E25" s="13">
        <f t="shared" si="7"/>
        <v>92639045</v>
      </c>
    </row>
    <row r="26" spans="1:5" x14ac:dyDescent="0.3">
      <c r="A26" s="21">
        <v>46290</v>
      </c>
      <c r="B26" s="5">
        <f>SUMIFS('25-09-2026'!C:C,'25-09-2026'!B:B,"Zenith")</f>
        <v>21567000</v>
      </c>
      <c r="C26" s="5">
        <f>SUMIFS('25-09-2026'!C:C,'25-09-2026'!B:B,"FCMB")</f>
        <v>45038170</v>
      </c>
      <c r="D26" s="5">
        <f>SUMIFS('25-09-2026'!C:C,'25-09-2026'!B:B,"Union")</f>
        <v>29843450</v>
      </c>
      <c r="E26" s="13">
        <f t="shared" ref="E26" si="8">SUM(B26:D26)</f>
        <v>96448620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8"/>
  <sheetViews>
    <sheetView topLeftCell="A30" workbookViewId="0">
      <selection activeCell="C50" sqref="C50"/>
    </sheetView>
  </sheetViews>
  <sheetFormatPr defaultColWidth="10" defaultRowHeight="14.4" x14ac:dyDescent="0.3"/>
  <cols>
    <col min="1" max="1" width="17.5546875" style="4" bestFit="1" customWidth="1"/>
    <col min="2" max="2" width="12.33203125" style="4" bestFit="1" customWidth="1"/>
    <col min="3" max="3" width="18.5546875" style="5" bestFit="1" customWidth="1"/>
    <col min="4" max="4" width="23.88671875" style="4" bestFit="1" customWidth="1"/>
    <col min="5" max="5" width="16.6640625" style="4" bestFit="1" customWidth="1"/>
    <col min="6" max="6" width="14.6640625" style="4" bestFit="1" customWidth="1"/>
    <col min="7" max="7" width="14.6640625" style="4" customWidth="1"/>
    <col min="8" max="8" width="12.109375" style="4" bestFit="1" customWidth="1"/>
    <col min="9" max="9" width="10.33203125" style="4" bestFit="1" customWidth="1"/>
    <col min="10" max="16384" width="10" style="4"/>
  </cols>
  <sheetData>
    <row r="1" spans="1:9" s="1" customForma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s="1" customFormat="1" x14ac:dyDescent="0.3">
      <c r="A2" s="3" t="s">
        <v>8</v>
      </c>
      <c r="B2" s="4" t="s">
        <v>9</v>
      </c>
      <c r="C2" s="5">
        <v>277700</v>
      </c>
      <c r="D2" s="3" t="s">
        <v>10</v>
      </c>
      <c r="E2" s="6">
        <v>626281</v>
      </c>
      <c r="F2" s="3"/>
      <c r="G2" s="4" t="s">
        <v>11</v>
      </c>
      <c r="H2" s="4"/>
      <c r="I2" s="3"/>
    </row>
    <row r="3" spans="1:9" x14ac:dyDescent="0.3">
      <c r="A3" s="4" t="s">
        <v>12</v>
      </c>
      <c r="B3" s="4" t="s">
        <v>13</v>
      </c>
      <c r="C3" s="5">
        <v>1610050</v>
      </c>
      <c r="D3" s="3" t="s">
        <v>14</v>
      </c>
      <c r="E3" s="6">
        <v>188533</v>
      </c>
      <c r="F3" s="3" t="s">
        <v>119</v>
      </c>
      <c r="G3" s="4" t="s">
        <v>15</v>
      </c>
      <c r="H3" s="4" t="s">
        <v>16</v>
      </c>
    </row>
    <row r="4" spans="1:9" x14ac:dyDescent="0.3">
      <c r="A4" s="4" t="s">
        <v>17</v>
      </c>
      <c r="D4" s="3"/>
      <c r="E4" s="6"/>
      <c r="F4" s="3"/>
    </row>
    <row r="5" spans="1:9" x14ac:dyDescent="0.3">
      <c r="A5" s="4" t="s">
        <v>18</v>
      </c>
      <c r="B5" s="4" t="s">
        <v>13</v>
      </c>
      <c r="C5" s="5">
        <v>1209750</v>
      </c>
      <c r="D5" s="3" t="s">
        <v>19</v>
      </c>
      <c r="E5" s="6">
        <v>23487138</v>
      </c>
      <c r="F5" s="3"/>
      <c r="G5" s="4" t="s">
        <v>15</v>
      </c>
      <c r="H5" s="4" t="s">
        <v>16</v>
      </c>
    </row>
    <row r="6" spans="1:9" x14ac:dyDescent="0.3">
      <c r="A6" s="4" t="s">
        <v>20</v>
      </c>
      <c r="B6" s="4" t="s">
        <v>13</v>
      </c>
      <c r="C6" s="5">
        <v>182600</v>
      </c>
      <c r="D6" s="3" t="s">
        <v>21</v>
      </c>
      <c r="E6" s="6">
        <v>25461631</v>
      </c>
      <c r="F6" s="3"/>
      <c r="G6" s="4" t="s">
        <v>15</v>
      </c>
      <c r="H6" s="4" t="s">
        <v>16</v>
      </c>
    </row>
    <row r="7" spans="1:9" x14ac:dyDescent="0.3">
      <c r="A7" s="4" t="s">
        <v>22</v>
      </c>
      <c r="B7" s="4" t="s">
        <v>13</v>
      </c>
      <c r="C7" s="5">
        <v>1303000</v>
      </c>
      <c r="D7" s="3" t="s">
        <v>23</v>
      </c>
      <c r="E7" s="6">
        <v>22698737</v>
      </c>
      <c r="F7" s="3"/>
      <c r="G7" s="4" t="s">
        <v>15</v>
      </c>
      <c r="H7" s="4" t="s">
        <v>16</v>
      </c>
    </row>
    <row r="8" spans="1:9" x14ac:dyDescent="0.3">
      <c r="A8" s="4" t="s">
        <v>24</v>
      </c>
      <c r="B8" s="4" t="s">
        <v>25</v>
      </c>
      <c r="C8" s="5">
        <v>1220200</v>
      </c>
      <c r="D8" s="3" t="s">
        <v>26</v>
      </c>
      <c r="E8" s="6"/>
      <c r="F8" s="3" t="s">
        <v>131</v>
      </c>
      <c r="G8" s="4" t="s">
        <v>15</v>
      </c>
      <c r="H8" s="4" t="s">
        <v>27</v>
      </c>
    </row>
    <row r="9" spans="1:9" x14ac:dyDescent="0.3">
      <c r="A9" s="4" t="s">
        <v>28</v>
      </c>
      <c r="B9" s="4" t="s">
        <v>13</v>
      </c>
      <c r="C9" s="5">
        <v>716000</v>
      </c>
      <c r="D9" s="3" t="s">
        <v>29</v>
      </c>
      <c r="E9" s="6">
        <v>23487121</v>
      </c>
      <c r="F9" s="3"/>
      <c r="G9" s="4" t="s">
        <v>15</v>
      </c>
      <c r="H9" s="4" t="s">
        <v>16</v>
      </c>
    </row>
    <row r="10" spans="1:9" x14ac:dyDescent="0.3">
      <c r="A10" s="4" t="s">
        <v>30</v>
      </c>
      <c r="B10" s="4" t="s">
        <v>25</v>
      </c>
      <c r="C10" s="5">
        <v>2613900</v>
      </c>
      <c r="D10" s="3" t="s">
        <v>136</v>
      </c>
      <c r="E10" s="6"/>
      <c r="F10" s="3"/>
      <c r="G10" s="7" t="s">
        <v>15</v>
      </c>
      <c r="H10" s="4" t="s">
        <v>27</v>
      </c>
    </row>
    <row r="11" spans="1:9" x14ac:dyDescent="0.3">
      <c r="A11" s="4" t="s">
        <v>31</v>
      </c>
      <c r="D11" s="3"/>
      <c r="E11" s="6"/>
      <c r="F11" s="3"/>
    </row>
    <row r="12" spans="1:9" x14ac:dyDescent="0.3">
      <c r="A12" s="4" t="s">
        <v>32</v>
      </c>
      <c r="B12" s="4" t="s">
        <v>9</v>
      </c>
      <c r="C12" s="5">
        <v>6226400</v>
      </c>
      <c r="D12" s="3" t="s">
        <v>137</v>
      </c>
      <c r="E12" s="6">
        <v>6288138</v>
      </c>
      <c r="F12" s="3"/>
      <c r="G12" s="4" t="s">
        <v>11</v>
      </c>
    </row>
    <row r="13" spans="1:9" x14ac:dyDescent="0.3">
      <c r="A13" s="4" t="s">
        <v>33</v>
      </c>
      <c r="B13" s="4" t="s">
        <v>13</v>
      </c>
      <c r="C13" s="5">
        <v>1801250</v>
      </c>
      <c r="D13" s="3" t="s">
        <v>34</v>
      </c>
      <c r="E13" s="6">
        <v>22634741</v>
      </c>
      <c r="F13" s="3"/>
      <c r="G13" s="4" t="s">
        <v>15</v>
      </c>
      <c r="H13" s="4" t="s">
        <v>16</v>
      </c>
    </row>
    <row r="14" spans="1:9" x14ac:dyDescent="0.3">
      <c r="A14" s="4" t="s">
        <v>35</v>
      </c>
      <c r="B14" s="4" t="s">
        <v>13</v>
      </c>
      <c r="C14" s="5">
        <v>398500</v>
      </c>
      <c r="D14" s="3" t="s">
        <v>36</v>
      </c>
      <c r="E14" s="6">
        <v>22634102</v>
      </c>
      <c r="G14" s="4" t="s">
        <v>15</v>
      </c>
      <c r="H14" s="4" t="s">
        <v>16</v>
      </c>
    </row>
    <row r="15" spans="1:9" x14ac:dyDescent="0.3">
      <c r="A15" s="4" t="s">
        <v>37</v>
      </c>
      <c r="B15" s="4" t="s">
        <v>13</v>
      </c>
      <c r="C15" s="5">
        <v>1976100</v>
      </c>
      <c r="D15" s="3" t="s">
        <v>38</v>
      </c>
      <c r="E15" s="6">
        <v>193063</v>
      </c>
      <c r="F15" s="4" t="s">
        <v>120</v>
      </c>
      <c r="G15" s="4" t="s">
        <v>15</v>
      </c>
      <c r="H15" s="4" t="s">
        <v>16</v>
      </c>
    </row>
    <row r="16" spans="1:9" x14ac:dyDescent="0.3">
      <c r="A16" s="4" t="s">
        <v>39</v>
      </c>
      <c r="D16" s="3"/>
      <c r="E16" s="6"/>
      <c r="F16" s="3"/>
    </row>
    <row r="17" spans="1:9" x14ac:dyDescent="0.3">
      <c r="A17" s="4" t="s">
        <v>40</v>
      </c>
      <c r="B17" s="4" t="s">
        <v>13</v>
      </c>
      <c r="C17" s="5">
        <v>1015800</v>
      </c>
      <c r="D17" s="3" t="s">
        <v>41</v>
      </c>
      <c r="E17" s="6">
        <v>179659</v>
      </c>
      <c r="F17" s="3" t="s">
        <v>123</v>
      </c>
      <c r="G17" s="4" t="s">
        <v>15</v>
      </c>
      <c r="H17" s="4" t="s">
        <v>16</v>
      </c>
    </row>
    <row r="18" spans="1:9" x14ac:dyDescent="0.3">
      <c r="A18" s="4" t="s">
        <v>42</v>
      </c>
      <c r="B18" s="4" t="s">
        <v>13</v>
      </c>
      <c r="C18" s="5">
        <v>682800</v>
      </c>
      <c r="D18" s="3" t="s">
        <v>128</v>
      </c>
      <c r="E18" s="6">
        <v>1105633</v>
      </c>
      <c r="F18" s="3" t="s">
        <v>129</v>
      </c>
      <c r="G18" s="4" t="s">
        <v>15</v>
      </c>
      <c r="H18" s="4" t="s">
        <v>16</v>
      </c>
    </row>
    <row r="19" spans="1:9" x14ac:dyDescent="0.3">
      <c r="A19" s="4" t="s">
        <v>43</v>
      </c>
      <c r="D19" s="3"/>
      <c r="E19" s="6"/>
      <c r="F19" s="3"/>
    </row>
    <row r="20" spans="1:9" x14ac:dyDescent="0.3">
      <c r="A20" s="4" t="s">
        <v>44</v>
      </c>
      <c r="B20" s="4" t="s">
        <v>25</v>
      </c>
      <c r="C20" s="5">
        <v>991800</v>
      </c>
      <c r="D20" s="3" t="s">
        <v>45</v>
      </c>
      <c r="E20" s="6" t="s">
        <v>138</v>
      </c>
      <c r="F20" s="3" t="s">
        <v>139</v>
      </c>
      <c r="G20" s="7" t="s">
        <v>15</v>
      </c>
      <c r="H20" s="4" t="s">
        <v>27</v>
      </c>
      <c r="I20" s="5"/>
    </row>
    <row r="21" spans="1:9" x14ac:dyDescent="0.3">
      <c r="A21" s="4" t="s">
        <v>46</v>
      </c>
      <c r="B21" s="4" t="s">
        <v>25</v>
      </c>
      <c r="C21" s="5">
        <v>951630</v>
      </c>
      <c r="D21" s="3" t="s">
        <v>47</v>
      </c>
      <c r="E21" s="6" t="s">
        <v>116</v>
      </c>
      <c r="F21" s="3" t="s">
        <v>117</v>
      </c>
      <c r="G21" s="4" t="s">
        <v>15</v>
      </c>
      <c r="H21" s="4" t="s">
        <v>27</v>
      </c>
    </row>
    <row r="22" spans="1:9" x14ac:dyDescent="0.3">
      <c r="A22" s="4" t="s">
        <v>49</v>
      </c>
      <c r="B22" s="4" t="s">
        <v>13</v>
      </c>
      <c r="C22" s="5">
        <v>780720</v>
      </c>
      <c r="D22" s="3" t="s">
        <v>50</v>
      </c>
      <c r="E22" s="6">
        <v>1102702</v>
      </c>
      <c r="F22" s="3" t="s">
        <v>127</v>
      </c>
      <c r="G22" s="4" t="s">
        <v>15</v>
      </c>
      <c r="H22" s="4" t="s">
        <v>16</v>
      </c>
    </row>
    <row r="23" spans="1:9" x14ac:dyDescent="0.3">
      <c r="A23" s="4" t="s">
        <v>51</v>
      </c>
      <c r="B23" s="4" t="s">
        <v>13</v>
      </c>
      <c r="C23" s="5">
        <v>1764800</v>
      </c>
      <c r="D23" s="5" t="s">
        <v>118</v>
      </c>
      <c r="E23" s="6">
        <v>168853</v>
      </c>
      <c r="F23" s="3" t="s">
        <v>48</v>
      </c>
      <c r="G23" s="4" t="s">
        <v>15</v>
      </c>
      <c r="H23" s="4" t="s">
        <v>16</v>
      </c>
    </row>
    <row r="24" spans="1:9" x14ac:dyDescent="0.3">
      <c r="A24" s="4" t="s">
        <v>52</v>
      </c>
      <c r="D24" s="3"/>
      <c r="E24" s="6"/>
      <c r="F24" s="3"/>
    </row>
    <row r="25" spans="1:9" x14ac:dyDescent="0.3">
      <c r="A25" s="4" t="s">
        <v>53</v>
      </c>
      <c r="B25" s="4" t="s">
        <v>9</v>
      </c>
      <c r="C25" s="5">
        <v>8152700</v>
      </c>
      <c r="D25" s="3" t="s">
        <v>54</v>
      </c>
      <c r="E25" s="6">
        <v>6770051</v>
      </c>
      <c r="F25" s="3"/>
      <c r="G25" s="4" t="s">
        <v>11</v>
      </c>
    </row>
    <row r="26" spans="1:9" x14ac:dyDescent="0.3">
      <c r="A26" s="4" t="s">
        <v>55</v>
      </c>
      <c r="B26" s="4" t="s">
        <v>13</v>
      </c>
      <c r="C26" s="5">
        <v>690250</v>
      </c>
      <c r="D26" s="3" t="s">
        <v>56</v>
      </c>
      <c r="E26" s="6"/>
      <c r="F26" s="3"/>
      <c r="G26" s="4" t="s">
        <v>15</v>
      </c>
      <c r="H26" s="4" t="s">
        <v>16</v>
      </c>
    </row>
    <row r="27" spans="1:9" x14ac:dyDescent="0.3">
      <c r="A27" s="4" t="s">
        <v>57</v>
      </c>
      <c r="B27" s="4" t="s">
        <v>13</v>
      </c>
      <c r="C27" s="5">
        <v>492920</v>
      </c>
      <c r="D27" s="3" t="s">
        <v>58</v>
      </c>
      <c r="E27" s="6">
        <v>175267</v>
      </c>
      <c r="F27" s="3" t="s">
        <v>121</v>
      </c>
      <c r="G27" s="4" t="s">
        <v>15</v>
      </c>
      <c r="H27" s="4" t="s">
        <v>16</v>
      </c>
    </row>
    <row r="28" spans="1:9" x14ac:dyDescent="0.3">
      <c r="A28" s="4" t="s">
        <v>59</v>
      </c>
      <c r="D28" s="3"/>
      <c r="E28" s="6"/>
      <c r="F28" s="3"/>
      <c r="G28" s="7"/>
      <c r="H28" s="5"/>
    </row>
    <row r="29" spans="1:9" x14ac:dyDescent="0.3">
      <c r="A29" s="4" t="s">
        <v>60</v>
      </c>
      <c r="D29" s="3"/>
      <c r="E29" s="6"/>
      <c r="F29" s="3"/>
    </row>
    <row r="30" spans="1:9" x14ac:dyDescent="0.3">
      <c r="A30" s="4" t="s">
        <v>61</v>
      </c>
      <c r="B30" s="4" t="s">
        <v>13</v>
      </c>
      <c r="C30" s="5">
        <v>1615750</v>
      </c>
      <c r="D30" s="3" t="s">
        <v>62</v>
      </c>
      <c r="E30" s="6"/>
      <c r="F30" s="3"/>
      <c r="G30" s="4" t="s">
        <v>15</v>
      </c>
      <c r="H30" s="4" t="s">
        <v>16</v>
      </c>
    </row>
    <row r="31" spans="1:9" x14ac:dyDescent="0.3">
      <c r="A31" s="4" t="s">
        <v>63</v>
      </c>
      <c r="D31" s="3"/>
      <c r="E31" s="6"/>
      <c r="F31" s="3"/>
    </row>
    <row r="32" spans="1:9" x14ac:dyDescent="0.3">
      <c r="A32" s="4" t="s">
        <v>64</v>
      </c>
      <c r="B32" s="4" t="s">
        <v>13</v>
      </c>
      <c r="C32" s="5">
        <v>792150</v>
      </c>
      <c r="D32" s="3" t="s">
        <v>130</v>
      </c>
      <c r="E32" s="6">
        <v>23487134</v>
      </c>
      <c r="F32" s="3"/>
      <c r="G32" s="4" t="s">
        <v>15</v>
      </c>
      <c r="H32" s="4" t="s">
        <v>16</v>
      </c>
    </row>
    <row r="33" spans="1:8" x14ac:dyDescent="0.3">
      <c r="A33" s="4" t="s">
        <v>65</v>
      </c>
      <c r="D33" s="7"/>
      <c r="E33" s="6"/>
      <c r="F33" s="3"/>
    </row>
    <row r="34" spans="1:8" x14ac:dyDescent="0.3">
      <c r="A34" s="4" t="s">
        <v>67</v>
      </c>
      <c r="B34" s="4" t="s">
        <v>13</v>
      </c>
      <c r="C34" s="5">
        <v>1157000</v>
      </c>
      <c r="D34" s="3" t="s">
        <v>68</v>
      </c>
      <c r="E34" s="6">
        <v>23487122</v>
      </c>
      <c r="F34" s="3"/>
      <c r="G34" s="4" t="s">
        <v>15</v>
      </c>
      <c r="H34" s="4" t="s">
        <v>16</v>
      </c>
    </row>
    <row r="35" spans="1:8" x14ac:dyDescent="0.3">
      <c r="A35" s="4" t="s">
        <v>69</v>
      </c>
      <c r="B35" s="4" t="s">
        <v>25</v>
      </c>
      <c r="C35" s="5">
        <v>1523900</v>
      </c>
      <c r="D35" s="3" t="s">
        <v>70</v>
      </c>
      <c r="E35" s="6"/>
      <c r="F35" s="3" t="s">
        <v>126</v>
      </c>
      <c r="G35" s="4" t="s">
        <v>15</v>
      </c>
      <c r="H35" s="4" t="s">
        <v>27</v>
      </c>
    </row>
    <row r="36" spans="1:8" x14ac:dyDescent="0.3">
      <c r="A36" s="4" t="s">
        <v>71</v>
      </c>
      <c r="D36" s="7"/>
      <c r="E36" s="6"/>
      <c r="F36" s="3"/>
      <c r="G36" s="7"/>
    </row>
    <row r="37" spans="1:8" x14ac:dyDescent="0.3">
      <c r="A37" s="4" t="s">
        <v>73</v>
      </c>
      <c r="B37" s="4" t="s">
        <v>13</v>
      </c>
      <c r="C37" s="5">
        <v>1623000</v>
      </c>
      <c r="D37" s="3" t="s">
        <v>74</v>
      </c>
      <c r="E37" s="6"/>
      <c r="F37" s="3" t="s">
        <v>134</v>
      </c>
      <c r="G37" s="4" t="s">
        <v>15</v>
      </c>
      <c r="H37" s="4" t="s">
        <v>16</v>
      </c>
    </row>
    <row r="38" spans="1:8" x14ac:dyDescent="0.3">
      <c r="A38" s="4" t="s">
        <v>75</v>
      </c>
      <c r="D38" s="3"/>
      <c r="E38" s="6"/>
      <c r="F38" s="3"/>
    </row>
    <row r="39" spans="1:8" x14ac:dyDescent="0.3">
      <c r="A39" s="4" t="s">
        <v>76</v>
      </c>
      <c r="B39" s="4" t="s">
        <v>25</v>
      </c>
      <c r="C39" s="5">
        <v>3165800</v>
      </c>
      <c r="D39" s="3" t="s">
        <v>77</v>
      </c>
      <c r="E39" s="6">
        <v>2952383</v>
      </c>
      <c r="F39" s="3"/>
      <c r="G39" s="7" t="s">
        <v>15</v>
      </c>
      <c r="H39" s="4" t="s">
        <v>27</v>
      </c>
    </row>
    <row r="40" spans="1:8" x14ac:dyDescent="0.3">
      <c r="A40" s="4" t="s">
        <v>78</v>
      </c>
      <c r="D40" s="3"/>
      <c r="E40" s="6"/>
      <c r="F40" s="3"/>
    </row>
    <row r="41" spans="1:8" x14ac:dyDescent="0.3">
      <c r="A41" s="4" t="s">
        <v>79</v>
      </c>
      <c r="D41" s="3"/>
      <c r="E41" s="6"/>
      <c r="F41" s="3"/>
    </row>
    <row r="42" spans="1:8" x14ac:dyDescent="0.3">
      <c r="A42" s="4" t="s">
        <v>80</v>
      </c>
      <c r="B42" s="4" t="s">
        <v>13</v>
      </c>
      <c r="C42" s="5">
        <v>947600</v>
      </c>
      <c r="D42" s="7" t="s">
        <v>115</v>
      </c>
      <c r="E42" s="6">
        <v>23487119</v>
      </c>
      <c r="F42" s="3"/>
      <c r="G42" s="4" t="s">
        <v>15</v>
      </c>
      <c r="H42" s="4" t="s">
        <v>16</v>
      </c>
    </row>
    <row r="43" spans="1:8" x14ac:dyDescent="0.3">
      <c r="A43" s="4" t="s">
        <v>81</v>
      </c>
      <c r="B43" s="4" t="s">
        <v>9</v>
      </c>
      <c r="C43" s="5">
        <v>1258900</v>
      </c>
      <c r="D43" s="3" t="s">
        <v>82</v>
      </c>
      <c r="E43" s="6">
        <v>5850113</v>
      </c>
      <c r="F43" s="3"/>
      <c r="G43" s="4" t="s">
        <v>11</v>
      </c>
    </row>
    <row r="44" spans="1:8" x14ac:dyDescent="0.3">
      <c r="A44" s="4" t="s">
        <v>83</v>
      </c>
      <c r="D44" s="3"/>
      <c r="E44" s="6"/>
      <c r="F44" s="3"/>
    </row>
    <row r="45" spans="1:8" x14ac:dyDescent="0.3">
      <c r="A45" s="4" t="s">
        <v>85</v>
      </c>
      <c r="B45" s="4" t="s">
        <v>13</v>
      </c>
      <c r="C45" s="5">
        <v>2213000</v>
      </c>
      <c r="D45" s="3" t="s">
        <v>86</v>
      </c>
      <c r="E45" s="6">
        <v>1106950</v>
      </c>
      <c r="F45" s="3"/>
      <c r="G45" s="4" t="s">
        <v>15</v>
      </c>
      <c r="H45" s="4" t="s">
        <v>16</v>
      </c>
    </row>
    <row r="46" spans="1:8" x14ac:dyDescent="0.3">
      <c r="A46" s="4" t="s">
        <v>87</v>
      </c>
      <c r="B46" s="4" t="s">
        <v>13</v>
      </c>
      <c r="C46" s="5">
        <v>1785350</v>
      </c>
      <c r="D46" s="3" t="s">
        <v>88</v>
      </c>
      <c r="E46" s="6"/>
      <c r="F46" s="3"/>
      <c r="G46" s="4" t="s">
        <v>15</v>
      </c>
      <c r="H46" s="4" t="s">
        <v>16</v>
      </c>
    </row>
    <row r="47" spans="1:8" x14ac:dyDescent="0.3">
      <c r="A47" s="4" t="s">
        <v>89</v>
      </c>
      <c r="B47" s="4" t="s">
        <v>13</v>
      </c>
      <c r="C47" s="5">
        <v>2064500</v>
      </c>
      <c r="D47" s="3" t="s">
        <v>90</v>
      </c>
      <c r="E47" s="6"/>
      <c r="F47" s="3"/>
      <c r="G47" s="4" t="s">
        <v>15</v>
      </c>
      <c r="H47" s="4" t="s">
        <v>16</v>
      </c>
    </row>
    <row r="48" spans="1:8" x14ac:dyDescent="0.3">
      <c r="A48" s="4" t="s">
        <v>91</v>
      </c>
      <c r="B48" s="4" t="s">
        <v>9</v>
      </c>
      <c r="C48" s="5">
        <v>1570000</v>
      </c>
      <c r="D48" s="7" t="s">
        <v>92</v>
      </c>
      <c r="E48" s="6">
        <v>21079776</v>
      </c>
      <c r="F48" s="3"/>
      <c r="G48" s="4" t="s">
        <v>11</v>
      </c>
    </row>
    <row r="49" spans="1:8" x14ac:dyDescent="0.3">
      <c r="A49" s="4" t="s">
        <v>93</v>
      </c>
      <c r="B49" s="4" t="s">
        <v>13</v>
      </c>
      <c r="C49" s="5">
        <v>1991400</v>
      </c>
      <c r="D49" s="3" t="s">
        <v>94</v>
      </c>
      <c r="E49" s="6"/>
      <c r="F49" s="3" t="s">
        <v>122</v>
      </c>
      <c r="G49" s="4" t="s">
        <v>15</v>
      </c>
      <c r="H49" s="4" t="s">
        <v>16</v>
      </c>
    </row>
    <row r="50" spans="1:8" x14ac:dyDescent="0.3">
      <c r="A50" s="4" t="s">
        <v>95</v>
      </c>
      <c r="D50" s="7"/>
      <c r="E50" s="6"/>
      <c r="F50" s="3"/>
    </row>
    <row r="51" spans="1:8" x14ac:dyDescent="0.3">
      <c r="A51" s="4" t="s">
        <v>96</v>
      </c>
      <c r="B51" s="4" t="s">
        <v>13</v>
      </c>
      <c r="C51" s="5">
        <v>2116700</v>
      </c>
      <c r="D51" s="7" t="s">
        <v>97</v>
      </c>
      <c r="E51" s="6">
        <v>1106198</v>
      </c>
      <c r="F51" s="3"/>
      <c r="G51" s="4" t="s">
        <v>15</v>
      </c>
      <c r="H51" s="4" t="s">
        <v>16</v>
      </c>
    </row>
    <row r="52" spans="1:8" x14ac:dyDescent="0.3">
      <c r="A52" s="4" t="s">
        <v>98</v>
      </c>
      <c r="B52" s="4" t="s">
        <v>9</v>
      </c>
      <c r="C52" s="5">
        <v>1906800</v>
      </c>
      <c r="D52" s="3" t="s">
        <v>99</v>
      </c>
      <c r="E52" s="6">
        <v>5850109</v>
      </c>
      <c r="F52" s="3"/>
      <c r="G52" s="4" t="s">
        <v>11</v>
      </c>
    </row>
    <row r="53" spans="1:8" x14ac:dyDescent="0.3">
      <c r="A53" s="4" t="s">
        <v>100</v>
      </c>
      <c r="B53" s="4" t="s">
        <v>9</v>
      </c>
      <c r="C53" s="5">
        <v>1194900</v>
      </c>
      <c r="D53" s="8" t="s">
        <v>101</v>
      </c>
      <c r="E53" s="9">
        <v>498974</v>
      </c>
      <c r="F53" s="7"/>
      <c r="G53" s="7" t="s">
        <v>11</v>
      </c>
    </row>
    <row r="54" spans="1:8" x14ac:dyDescent="0.3">
      <c r="A54" s="4" t="s">
        <v>102</v>
      </c>
      <c r="B54" s="4" t="s">
        <v>9</v>
      </c>
      <c r="C54" s="5">
        <v>1374400</v>
      </c>
      <c r="D54" s="3" t="s">
        <v>103</v>
      </c>
      <c r="E54" s="6">
        <v>885601</v>
      </c>
      <c r="F54" s="3"/>
      <c r="G54" s="4" t="s">
        <v>11</v>
      </c>
    </row>
    <row r="55" spans="1:8" x14ac:dyDescent="0.3">
      <c r="A55" s="4" t="s">
        <v>104</v>
      </c>
      <c r="B55" s="4" t="s">
        <v>9</v>
      </c>
      <c r="C55" s="5">
        <v>220500</v>
      </c>
      <c r="D55" s="7" t="s">
        <v>105</v>
      </c>
      <c r="E55" s="6">
        <v>137887</v>
      </c>
      <c r="F55" s="3"/>
      <c r="G55" s="4" t="s">
        <v>11</v>
      </c>
    </row>
    <row r="56" spans="1:8" x14ac:dyDescent="0.3">
      <c r="A56" s="4" t="s">
        <v>106</v>
      </c>
      <c r="B56" s="4" t="s">
        <v>13</v>
      </c>
      <c r="C56" s="5">
        <v>4899200</v>
      </c>
      <c r="D56" s="3" t="s">
        <v>107</v>
      </c>
      <c r="E56" s="6">
        <v>1103755</v>
      </c>
      <c r="F56" s="3"/>
      <c r="G56" s="4" t="s">
        <v>15</v>
      </c>
      <c r="H56" s="4" t="s">
        <v>16</v>
      </c>
    </row>
    <row r="57" spans="1:8" x14ac:dyDescent="0.3">
      <c r="A57" s="4" t="s">
        <v>108</v>
      </c>
      <c r="B57" s="4" t="s">
        <v>13</v>
      </c>
      <c r="C57" s="5">
        <v>4300110</v>
      </c>
      <c r="D57" s="7" t="s">
        <v>135</v>
      </c>
      <c r="E57" s="6">
        <v>22889915</v>
      </c>
      <c r="F57" s="3"/>
      <c r="G57" s="4" t="s">
        <v>15</v>
      </c>
      <c r="H57" s="4" t="s">
        <v>16</v>
      </c>
    </row>
    <row r="58" spans="1:8" x14ac:dyDescent="0.3">
      <c r="A58" s="4" t="s">
        <v>109</v>
      </c>
      <c r="B58" s="4" t="s">
        <v>13</v>
      </c>
      <c r="C58" s="5">
        <v>2448300</v>
      </c>
      <c r="D58" s="3" t="s">
        <v>110</v>
      </c>
      <c r="E58" s="6">
        <v>25718932</v>
      </c>
      <c r="F58" s="3"/>
      <c r="G58" s="4" t="s">
        <v>15</v>
      </c>
      <c r="H58" s="4" t="s">
        <v>16</v>
      </c>
    </row>
    <row r="59" spans="1:8" x14ac:dyDescent="0.3">
      <c r="A59" s="4" t="s">
        <v>111</v>
      </c>
      <c r="B59" s="4" t="s">
        <v>13</v>
      </c>
      <c r="C59" s="5">
        <v>500000</v>
      </c>
      <c r="D59" s="3" t="s">
        <v>132</v>
      </c>
      <c r="E59" s="6"/>
      <c r="F59" s="3" t="s">
        <v>133</v>
      </c>
      <c r="G59" s="4" t="s">
        <v>15</v>
      </c>
      <c r="H59" s="4" t="s">
        <v>16</v>
      </c>
    </row>
    <row r="60" spans="1:8" x14ac:dyDescent="0.3">
      <c r="A60" s="4" t="s">
        <v>111</v>
      </c>
      <c r="B60" s="4" t="s">
        <v>25</v>
      </c>
      <c r="C60" s="5">
        <v>824430</v>
      </c>
      <c r="D60" s="3" t="s">
        <v>112</v>
      </c>
      <c r="E60" s="6">
        <v>267270</v>
      </c>
      <c r="F60" s="3"/>
      <c r="G60" s="4" t="s">
        <v>15</v>
      </c>
      <c r="H60" s="4" t="s">
        <v>27</v>
      </c>
    </row>
    <row r="61" spans="1:8" x14ac:dyDescent="0.3">
      <c r="A61" s="4" t="s">
        <v>113</v>
      </c>
      <c r="B61" s="4" t="s">
        <v>25</v>
      </c>
      <c r="C61" s="5">
        <v>4155890</v>
      </c>
      <c r="D61" s="3" t="s">
        <v>92</v>
      </c>
      <c r="E61" s="6" t="s">
        <v>124</v>
      </c>
      <c r="F61" s="3" t="s">
        <v>125</v>
      </c>
      <c r="G61" s="7" t="s">
        <v>15</v>
      </c>
      <c r="H61" s="4" t="s">
        <v>27</v>
      </c>
    </row>
    <row r="62" spans="1:8" s="10" customFormat="1" ht="15" thickBot="1" x14ac:dyDescent="0.35">
      <c r="A62" s="10" t="s">
        <v>114</v>
      </c>
      <c r="B62" s="4"/>
      <c r="C62" s="11">
        <f>SUM(C2:C61)</f>
        <v>80708450</v>
      </c>
      <c r="D62" s="4"/>
    </row>
    <row r="63" spans="1:8" ht="15" thickTop="1" x14ac:dyDescent="0.3"/>
    <row r="68" spans="4:4" x14ac:dyDescent="0.3">
      <c r="D68" s="12"/>
    </row>
  </sheetData>
  <conditionalFormatting sqref="F14:F15">
    <cfRule type="containsText" dxfId="1027" priority="73" operator="containsText" text="No">
      <formula>NOT(ISERROR(SEARCH("No",F14)))</formula>
    </cfRule>
    <cfRule type="containsText" dxfId="1026" priority="74" operator="containsText" text="Yes">
      <formula>NOT(ISERROR(SEARCH("Yes",F14)))</formula>
    </cfRule>
  </conditionalFormatting>
  <conditionalFormatting sqref="G1">
    <cfRule type="containsText" dxfId="1025" priority="89" operator="containsText" text="No">
      <formula>NOT(ISERROR(SEARCH("No",G1)))</formula>
    </cfRule>
    <cfRule type="containsText" dxfId="1024" priority="90" operator="containsText" text="Yes">
      <formula>NOT(ISERROR(SEARCH("Yes",G1)))</formula>
    </cfRule>
  </conditionalFormatting>
  <conditionalFormatting sqref="G16 G19">
    <cfRule type="containsText" dxfId="1023" priority="79" operator="containsText" text="No">
      <formula>NOT(ISERROR(SEARCH("No",G16)))</formula>
    </cfRule>
    <cfRule type="containsText" dxfId="1022" priority="80" operator="containsText" text="Yes">
      <formula>NOT(ISERROR(SEARCH("Yes",G16)))</formula>
    </cfRule>
  </conditionalFormatting>
  <conditionalFormatting sqref="G29">
    <cfRule type="containsText" dxfId="1021" priority="77" operator="containsText" text="No">
      <formula>NOT(ISERROR(SEARCH("No",G29)))</formula>
    </cfRule>
    <cfRule type="containsText" dxfId="1020" priority="78" operator="containsText" text="Yes">
      <formula>NOT(ISERROR(SEARCH("Yes",G29)))</formula>
    </cfRule>
  </conditionalFormatting>
  <conditionalFormatting sqref="G40">
    <cfRule type="containsText" dxfId="1019" priority="93" operator="containsText" text="No">
      <formula>NOT(ISERROR(SEARCH("No",G40)))</formula>
    </cfRule>
    <cfRule type="containsText" dxfId="1018" priority="94" operator="containsText" text="Yes">
      <formula>NOT(ISERROR(SEARCH("Yes",G40)))</formula>
    </cfRule>
  </conditionalFormatting>
  <conditionalFormatting sqref="G43">
    <cfRule type="containsText" dxfId="1017" priority="87" operator="containsText" text="No">
      <formula>NOT(ISERROR(SEARCH("No",G43)))</formula>
    </cfRule>
    <cfRule type="containsText" dxfId="1016" priority="88" operator="containsText" text="Yes">
      <formula>NOT(ISERROR(SEARCH("Yes",G43)))</formula>
    </cfRule>
  </conditionalFormatting>
  <conditionalFormatting sqref="G52">
    <cfRule type="containsText" dxfId="1015" priority="85" operator="containsText" text="No">
      <formula>NOT(ISERROR(SEARCH("No",G52)))</formula>
    </cfRule>
    <cfRule type="containsText" dxfId="1014" priority="86" operator="containsText" text="Yes">
      <formula>NOT(ISERROR(SEARCH("Yes",G52)))</formula>
    </cfRule>
  </conditionalFormatting>
  <conditionalFormatting sqref="G62:G1048576">
    <cfRule type="containsText" dxfId="1013" priority="91" operator="containsText" text="No">
      <formula>NOT(ISERROR(SEARCH("No",G62)))</formula>
    </cfRule>
    <cfRule type="containsText" dxfId="1012" priority="92" operator="containsText" text="Yes">
      <formula>NOT(ISERROR(SEARCH("Yes",G62)))</formula>
    </cfRule>
  </conditionalFormatting>
  <conditionalFormatting sqref="G2:H7">
    <cfRule type="containsText" dxfId="1011" priority="1" operator="containsText" text="No">
      <formula>NOT(ISERROR(SEARCH("No",G2)))</formula>
    </cfRule>
    <cfRule type="containsText" dxfId="1010" priority="2" operator="containsText" text="Yes">
      <formula>NOT(ISERROR(SEARCH("Yes",G2)))</formula>
    </cfRule>
  </conditionalFormatting>
  <conditionalFormatting sqref="G20:H26">
    <cfRule type="containsText" dxfId="1009" priority="69" operator="containsText" text="No">
      <formula>NOT(ISERROR(SEARCH("No",G20)))</formula>
    </cfRule>
    <cfRule type="containsText" dxfId="1008" priority="70" operator="containsText" text="Yes">
      <formula>NOT(ISERROR(SEARCH("Yes",G20)))</formula>
    </cfRule>
  </conditionalFormatting>
  <conditionalFormatting sqref="G27:H28">
    <cfRule type="containsText" dxfId="1007" priority="35" operator="containsText" text="No">
      <formula>NOT(ISERROR(SEARCH("No",G27)))</formula>
    </cfRule>
    <cfRule type="containsText" dxfId="1006" priority="36" operator="containsText" text="Yes">
      <formula>NOT(ISERROR(SEARCH("Yes",G27)))</formula>
    </cfRule>
  </conditionalFormatting>
  <conditionalFormatting sqref="G30:H39">
    <cfRule type="containsText" dxfId="1005" priority="3" operator="containsText" text="No">
      <formula>NOT(ISERROR(SEARCH("No",G30)))</formula>
    </cfRule>
    <cfRule type="containsText" dxfId="1004" priority="4" operator="containsText" text="Yes">
      <formula>NOT(ISERROR(SEARCH("Yes",G30)))</formula>
    </cfRule>
  </conditionalFormatting>
  <conditionalFormatting sqref="G41:H42">
    <cfRule type="containsText" dxfId="1003" priority="45" operator="containsText" text="No">
      <formula>NOT(ISERROR(SEARCH("No",G41)))</formula>
    </cfRule>
    <cfRule type="containsText" dxfId="1002" priority="46" operator="containsText" text="Yes">
      <formula>NOT(ISERROR(SEARCH("Yes",G41)))</formula>
    </cfRule>
  </conditionalFormatting>
  <conditionalFormatting sqref="G44:H51">
    <cfRule type="containsText" dxfId="1001" priority="11" operator="containsText" text="No">
      <formula>NOT(ISERROR(SEARCH("No",G44)))</formula>
    </cfRule>
    <cfRule type="containsText" dxfId="1000" priority="12" operator="containsText" text="Yes">
      <formula>NOT(ISERROR(SEARCH("Yes",G44)))</formula>
    </cfRule>
  </conditionalFormatting>
  <conditionalFormatting sqref="G53:H61">
    <cfRule type="containsText" dxfId="999" priority="5" operator="containsText" text="No">
      <formula>NOT(ISERROR(SEARCH("No",G53)))</formula>
    </cfRule>
    <cfRule type="containsText" dxfId="998" priority="6" operator="containsText" text="Yes">
      <formula>NOT(ISERROR(SEARCH("Yes",G53)))</formula>
    </cfRule>
  </conditionalFormatting>
  <conditionalFormatting sqref="G8:I15">
    <cfRule type="containsText" dxfId="997" priority="17" operator="containsText" text="No">
      <formula>NOT(ISERROR(SEARCH("No",G8)))</formula>
    </cfRule>
    <cfRule type="containsText" dxfId="996" priority="18" operator="containsText" text="Yes">
      <formula>NOT(ISERROR(SEARCH("Yes",G8)))</formula>
    </cfRule>
  </conditionalFormatting>
  <conditionalFormatting sqref="G17:I18">
    <cfRule type="containsText" dxfId="995" priority="25" operator="containsText" text="No">
      <formula>NOT(ISERROR(SEARCH("No",G17)))</formula>
    </cfRule>
    <cfRule type="containsText" dxfId="994" priority="26" operator="containsText" text="Yes">
      <formula>NOT(ISERROR(SEARCH("Yes",G17)))</formula>
    </cfRule>
  </conditionalFormatting>
  <conditionalFormatting sqref="H21">
    <cfRule type="containsText" dxfId="993" priority="67" operator="containsText" text="No">
      <formula>NOT(ISERROR(SEARCH("No",H21)))</formula>
    </cfRule>
    <cfRule type="containsText" dxfId="992" priority="68" operator="containsText" text="Yes">
      <formula>NOT(ISERROR(SEARCH("Yes",H21)))</formula>
    </cfRule>
  </conditionalFormatting>
  <conditionalFormatting sqref="H28">
    <cfRule type="containsText" dxfId="991" priority="81" operator="containsText" text="No">
      <formula>NOT(ISERROR(SEARCH("No",H28)))</formula>
    </cfRule>
    <cfRule type="containsText" dxfId="990" priority="82" operator="containsText" text="Yes">
      <formula>NOT(ISERROR(SEARCH("Yes",H28)))</formula>
    </cfRule>
  </conditionalFormatting>
  <conditionalFormatting sqref="I20">
    <cfRule type="containsText" dxfId="989" priority="83" operator="containsText" text="No">
      <formula>NOT(ISERROR(SEARCH("No",I20)))</formula>
    </cfRule>
    <cfRule type="containsText" dxfId="988" priority="84" operator="containsText" text="Yes">
      <formula>NOT(ISERROR(SEARCH("Yes",I20)))</formula>
    </cfRule>
  </conditionalFormatting>
  <conditionalFormatting sqref="I20:I27 I30">
    <cfRule type="containsText" dxfId="987" priority="75" operator="containsText" text="No">
      <formula>NOT(ISERROR(SEARCH("No",I20)))</formula>
    </cfRule>
    <cfRule type="containsText" dxfId="986" priority="76" operator="containsText" text="Yes">
      <formula>NOT(ISERROR(SEARCH("Yes",I20)))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8"/>
  <sheetViews>
    <sheetView topLeftCell="A22" workbookViewId="0">
      <selection activeCell="C49" sqref="C49"/>
    </sheetView>
  </sheetViews>
  <sheetFormatPr defaultColWidth="10" defaultRowHeight="14.4" x14ac:dyDescent="0.3"/>
  <cols>
    <col min="1" max="1" width="17.5546875" style="4" bestFit="1" customWidth="1"/>
    <col min="2" max="2" width="12.33203125" style="4" bestFit="1" customWidth="1"/>
    <col min="3" max="3" width="18.5546875" style="5" bestFit="1" customWidth="1"/>
    <col min="4" max="4" width="23.88671875" style="4" bestFit="1" customWidth="1"/>
    <col min="5" max="5" width="16.6640625" style="4" bestFit="1" customWidth="1"/>
    <col min="6" max="6" width="14.6640625" style="4" bestFit="1" customWidth="1"/>
    <col min="7" max="7" width="14.6640625" style="4" customWidth="1"/>
    <col min="8" max="8" width="12.109375" style="4" bestFit="1" customWidth="1"/>
    <col min="9" max="9" width="10.33203125" style="4" bestFit="1" customWidth="1"/>
    <col min="10" max="16384" width="10" style="4"/>
  </cols>
  <sheetData>
    <row r="1" spans="1:9" s="1" customForma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s="1" customFormat="1" x14ac:dyDescent="0.3">
      <c r="A2" s="3" t="s">
        <v>8</v>
      </c>
      <c r="B2" s="4" t="s">
        <v>9</v>
      </c>
      <c r="C2" s="5">
        <v>2147000</v>
      </c>
      <c r="D2" s="3" t="s">
        <v>10</v>
      </c>
      <c r="E2" s="6">
        <v>626265</v>
      </c>
      <c r="F2" s="3"/>
      <c r="G2" s="4" t="s">
        <v>11</v>
      </c>
      <c r="H2" s="4"/>
      <c r="I2" s="3"/>
    </row>
    <row r="3" spans="1:9" x14ac:dyDescent="0.3">
      <c r="A3" s="4" t="s">
        <v>12</v>
      </c>
      <c r="B3" s="4" t="s">
        <v>13</v>
      </c>
      <c r="C3" s="5">
        <v>742000</v>
      </c>
      <c r="D3" s="3" t="s">
        <v>14</v>
      </c>
      <c r="E3" s="6">
        <v>191200</v>
      </c>
      <c r="F3" s="3" t="s">
        <v>162</v>
      </c>
      <c r="G3" s="4" t="s">
        <v>15</v>
      </c>
      <c r="H3" s="4" t="s">
        <v>16</v>
      </c>
    </row>
    <row r="4" spans="1:9" x14ac:dyDescent="0.3">
      <c r="A4" s="4" t="s">
        <v>17</v>
      </c>
      <c r="D4" s="3"/>
      <c r="E4" s="6"/>
      <c r="F4" s="3"/>
    </row>
    <row r="5" spans="1:9" x14ac:dyDescent="0.3">
      <c r="A5" s="4" t="s">
        <v>18</v>
      </c>
      <c r="B5" s="4" t="s">
        <v>13</v>
      </c>
      <c r="C5" s="5">
        <v>1056100</v>
      </c>
      <c r="D5" s="3" t="s">
        <v>19</v>
      </c>
      <c r="E5" s="6">
        <v>23480459</v>
      </c>
      <c r="F5" s="3"/>
      <c r="G5" s="4" t="s">
        <v>15</v>
      </c>
      <c r="H5" s="4" t="s">
        <v>16</v>
      </c>
    </row>
    <row r="6" spans="1:9" x14ac:dyDescent="0.3">
      <c r="A6" s="4" t="s">
        <v>20</v>
      </c>
      <c r="B6" s="4" t="s">
        <v>13</v>
      </c>
      <c r="C6" s="5">
        <v>855900</v>
      </c>
      <c r="D6" s="3" t="s">
        <v>21</v>
      </c>
      <c r="E6" s="6">
        <v>25461666</v>
      </c>
      <c r="F6" s="3"/>
      <c r="G6" s="4" t="s">
        <v>15</v>
      </c>
      <c r="H6" s="4" t="s">
        <v>16</v>
      </c>
    </row>
    <row r="7" spans="1:9" x14ac:dyDescent="0.3">
      <c r="A7" s="4" t="s">
        <v>22</v>
      </c>
      <c r="B7" s="4" t="s">
        <v>13</v>
      </c>
      <c r="C7" s="5">
        <v>966900</v>
      </c>
      <c r="D7" s="3" t="s">
        <v>23</v>
      </c>
      <c r="E7" s="6">
        <v>22698744</v>
      </c>
      <c r="F7" s="3"/>
      <c r="G7" s="4" t="s">
        <v>15</v>
      </c>
      <c r="H7" s="4" t="s">
        <v>16</v>
      </c>
    </row>
    <row r="8" spans="1:9" x14ac:dyDescent="0.3">
      <c r="A8" s="4" t="s">
        <v>24</v>
      </c>
      <c r="B8" s="4" t="s">
        <v>25</v>
      </c>
      <c r="C8" s="5">
        <v>541150</v>
      </c>
      <c r="D8" s="3" t="s">
        <v>26</v>
      </c>
      <c r="E8" s="6"/>
      <c r="F8" s="3" t="s">
        <v>149</v>
      </c>
      <c r="G8" s="4" t="s">
        <v>15</v>
      </c>
      <c r="H8" s="4" t="s">
        <v>27</v>
      </c>
    </row>
    <row r="9" spans="1:9" x14ac:dyDescent="0.3">
      <c r="A9" s="4" t="s">
        <v>28</v>
      </c>
      <c r="D9" s="3"/>
      <c r="E9" s="6"/>
      <c r="F9" s="3"/>
    </row>
    <row r="10" spans="1:9" x14ac:dyDescent="0.3">
      <c r="A10" s="4" t="s">
        <v>30</v>
      </c>
      <c r="B10" s="4" t="s">
        <v>25</v>
      </c>
      <c r="C10" s="5">
        <v>5214250</v>
      </c>
      <c r="D10" s="3" t="s">
        <v>136</v>
      </c>
      <c r="E10" s="6" t="s">
        <v>154</v>
      </c>
      <c r="F10" s="3"/>
      <c r="G10" s="7" t="s">
        <v>15</v>
      </c>
      <c r="H10" s="4" t="s">
        <v>27</v>
      </c>
    </row>
    <row r="11" spans="1:9" x14ac:dyDescent="0.3">
      <c r="A11" s="4" t="s">
        <v>31</v>
      </c>
      <c r="B11" s="4" t="s">
        <v>13</v>
      </c>
      <c r="C11" s="5">
        <v>3557000</v>
      </c>
      <c r="D11" s="3" t="s">
        <v>152</v>
      </c>
      <c r="E11" s="6"/>
      <c r="F11" s="3"/>
      <c r="G11" s="4" t="s">
        <v>15</v>
      </c>
      <c r="H11" s="4" t="s">
        <v>16</v>
      </c>
    </row>
    <row r="12" spans="1:9" x14ac:dyDescent="0.3">
      <c r="A12" s="4" t="s">
        <v>32</v>
      </c>
      <c r="D12" s="3"/>
      <c r="E12" s="6"/>
      <c r="F12" s="3"/>
    </row>
    <row r="13" spans="1:9" x14ac:dyDescent="0.3">
      <c r="A13" s="4" t="s">
        <v>33</v>
      </c>
      <c r="B13" s="4" t="s">
        <v>13</v>
      </c>
      <c r="C13" s="5">
        <v>986100</v>
      </c>
      <c r="D13" s="3" t="s">
        <v>34</v>
      </c>
      <c r="E13" s="6">
        <v>165230</v>
      </c>
      <c r="F13" s="3" t="s">
        <v>146</v>
      </c>
      <c r="G13" s="4" t="s">
        <v>15</v>
      </c>
      <c r="H13" s="4" t="s">
        <v>16</v>
      </c>
    </row>
    <row r="14" spans="1:9" x14ac:dyDescent="0.3">
      <c r="A14" s="4" t="s">
        <v>35</v>
      </c>
      <c r="B14" s="4" t="s">
        <v>13</v>
      </c>
      <c r="C14" s="5">
        <v>327000</v>
      </c>
      <c r="D14" s="3" t="s">
        <v>36</v>
      </c>
      <c r="E14" s="6">
        <v>183114</v>
      </c>
      <c r="F14" s="4" t="s">
        <v>161</v>
      </c>
      <c r="G14" s="4" t="s">
        <v>15</v>
      </c>
      <c r="H14" s="4" t="s">
        <v>16</v>
      </c>
    </row>
    <row r="15" spans="1:9" x14ac:dyDescent="0.3">
      <c r="A15" s="4" t="s">
        <v>37</v>
      </c>
      <c r="B15" s="4" t="s">
        <v>13</v>
      </c>
      <c r="C15" s="5">
        <v>1040530</v>
      </c>
      <c r="D15" s="3" t="s">
        <v>38</v>
      </c>
      <c r="E15" s="6">
        <v>164279</v>
      </c>
      <c r="F15" s="4" t="s">
        <v>147</v>
      </c>
      <c r="G15" s="4" t="s">
        <v>15</v>
      </c>
      <c r="H15" s="4" t="s">
        <v>16</v>
      </c>
    </row>
    <row r="16" spans="1:9" x14ac:dyDescent="0.3">
      <c r="A16" s="4" t="s">
        <v>39</v>
      </c>
      <c r="D16" s="3"/>
      <c r="E16" s="6"/>
      <c r="F16" s="3"/>
    </row>
    <row r="17" spans="1:9" x14ac:dyDescent="0.3">
      <c r="A17" s="4" t="s">
        <v>40</v>
      </c>
      <c r="B17" s="4" t="s">
        <v>13</v>
      </c>
      <c r="C17" s="5">
        <v>1388200</v>
      </c>
      <c r="D17" s="3" t="s">
        <v>41</v>
      </c>
      <c r="E17" s="6">
        <v>25321876</v>
      </c>
      <c r="F17" s="3"/>
      <c r="G17" s="4" t="s">
        <v>15</v>
      </c>
      <c r="H17" s="4" t="s">
        <v>16</v>
      </c>
    </row>
    <row r="18" spans="1:9" x14ac:dyDescent="0.3">
      <c r="A18" s="4" t="s">
        <v>42</v>
      </c>
      <c r="B18" s="4" t="s">
        <v>13</v>
      </c>
      <c r="C18" s="5">
        <v>754900</v>
      </c>
      <c r="D18" s="3" t="s">
        <v>128</v>
      </c>
      <c r="E18" s="6"/>
      <c r="F18" s="3"/>
      <c r="G18" s="4" t="s">
        <v>15</v>
      </c>
      <c r="H18" s="4" t="s">
        <v>16</v>
      </c>
    </row>
    <row r="19" spans="1:9" x14ac:dyDescent="0.3">
      <c r="A19" s="4" t="s">
        <v>43</v>
      </c>
      <c r="D19" s="3"/>
      <c r="E19" s="6"/>
      <c r="F19" s="3"/>
    </row>
    <row r="20" spans="1:9" x14ac:dyDescent="0.3">
      <c r="A20" s="4" t="s">
        <v>44</v>
      </c>
      <c r="B20" s="4" t="s">
        <v>25</v>
      </c>
      <c r="C20" s="5">
        <v>1750500</v>
      </c>
      <c r="D20" s="3" t="s">
        <v>45</v>
      </c>
      <c r="E20" s="6" t="s">
        <v>156</v>
      </c>
      <c r="F20" s="3" t="s">
        <v>157</v>
      </c>
      <c r="G20" s="7" t="s">
        <v>15</v>
      </c>
      <c r="H20" s="4" t="s">
        <v>27</v>
      </c>
      <c r="I20" s="5"/>
    </row>
    <row r="21" spans="1:9" x14ac:dyDescent="0.3">
      <c r="A21" s="4" t="s">
        <v>46</v>
      </c>
      <c r="B21" s="4" t="s">
        <v>25</v>
      </c>
      <c r="C21" s="5">
        <v>1208900</v>
      </c>
      <c r="D21" s="3" t="s">
        <v>47</v>
      </c>
      <c r="E21" s="6" t="s">
        <v>143</v>
      </c>
      <c r="F21" s="3" t="s">
        <v>144</v>
      </c>
      <c r="G21" s="4" t="s">
        <v>15</v>
      </c>
      <c r="H21" s="4" t="s">
        <v>27</v>
      </c>
    </row>
    <row r="22" spans="1:9" x14ac:dyDescent="0.3">
      <c r="A22" s="4" t="s">
        <v>49</v>
      </c>
      <c r="B22" s="4" t="s">
        <v>13</v>
      </c>
      <c r="C22" s="5">
        <v>1392800</v>
      </c>
      <c r="D22" s="3" t="s">
        <v>50</v>
      </c>
      <c r="E22" s="6">
        <v>190621</v>
      </c>
      <c r="F22" s="3" t="s">
        <v>153</v>
      </c>
      <c r="G22" s="4" t="s">
        <v>15</v>
      </c>
      <c r="H22" s="4" t="s">
        <v>16</v>
      </c>
    </row>
    <row r="23" spans="1:9" x14ac:dyDescent="0.3">
      <c r="A23" s="4" t="s">
        <v>51</v>
      </c>
      <c r="B23" s="4" t="s">
        <v>13</v>
      </c>
      <c r="C23" s="5">
        <v>1606600</v>
      </c>
      <c r="D23" s="5" t="s">
        <v>118</v>
      </c>
      <c r="E23" s="6">
        <v>165969</v>
      </c>
      <c r="F23" s="3" t="s">
        <v>148</v>
      </c>
      <c r="G23" s="4" t="s">
        <v>15</v>
      </c>
      <c r="H23" s="4" t="s">
        <v>16</v>
      </c>
    </row>
    <row r="24" spans="1:9" x14ac:dyDescent="0.3">
      <c r="A24" s="4" t="s">
        <v>52</v>
      </c>
      <c r="D24" s="3"/>
      <c r="E24" s="6"/>
      <c r="F24" s="3"/>
    </row>
    <row r="25" spans="1:9" x14ac:dyDescent="0.3">
      <c r="A25" s="4" t="s">
        <v>53</v>
      </c>
      <c r="D25" s="3"/>
      <c r="E25" s="6"/>
      <c r="F25" s="3"/>
    </row>
    <row r="26" spans="1:9" x14ac:dyDescent="0.3">
      <c r="A26" s="4" t="s">
        <v>55</v>
      </c>
      <c r="B26" s="4" t="s">
        <v>13</v>
      </c>
      <c r="C26" s="5">
        <v>884500</v>
      </c>
      <c r="D26" s="3" t="s">
        <v>56</v>
      </c>
      <c r="E26" s="6"/>
      <c r="F26" s="3"/>
      <c r="G26" s="4" t="s">
        <v>15</v>
      </c>
      <c r="H26" s="4" t="s">
        <v>16</v>
      </c>
    </row>
    <row r="27" spans="1:9" x14ac:dyDescent="0.3">
      <c r="A27" s="4" t="s">
        <v>57</v>
      </c>
      <c r="B27" s="4" t="s">
        <v>13</v>
      </c>
      <c r="C27" s="5">
        <v>940095</v>
      </c>
      <c r="D27" s="3" t="s">
        <v>58</v>
      </c>
      <c r="E27" s="6"/>
      <c r="F27" s="3"/>
      <c r="G27" s="4" t="s">
        <v>15</v>
      </c>
      <c r="H27" s="4" t="s">
        <v>16</v>
      </c>
    </row>
    <row r="28" spans="1:9" x14ac:dyDescent="0.3">
      <c r="A28" s="4" t="s">
        <v>59</v>
      </c>
      <c r="D28" s="3"/>
      <c r="E28" s="6"/>
      <c r="F28" s="3"/>
      <c r="G28" s="7"/>
      <c r="H28" s="5"/>
    </row>
    <row r="29" spans="1:9" x14ac:dyDescent="0.3">
      <c r="A29" s="4" t="s">
        <v>60</v>
      </c>
      <c r="D29" s="3"/>
      <c r="E29" s="6"/>
      <c r="F29" s="3"/>
    </row>
    <row r="30" spans="1:9" x14ac:dyDescent="0.3">
      <c r="A30" s="4" t="s">
        <v>61</v>
      </c>
      <c r="B30" s="4" t="s">
        <v>13</v>
      </c>
      <c r="C30" s="5">
        <v>2125700</v>
      </c>
      <c r="D30" s="3" t="s">
        <v>62</v>
      </c>
      <c r="E30" s="6">
        <v>23131302</v>
      </c>
      <c r="F30" s="3"/>
      <c r="G30" s="4" t="s">
        <v>15</v>
      </c>
      <c r="H30" s="4" t="s">
        <v>16</v>
      </c>
    </row>
    <row r="31" spans="1:9" x14ac:dyDescent="0.3">
      <c r="A31" s="4" t="s">
        <v>63</v>
      </c>
      <c r="D31" s="3"/>
      <c r="E31" s="6"/>
      <c r="F31" s="3"/>
    </row>
    <row r="32" spans="1:9" x14ac:dyDescent="0.3">
      <c r="A32" s="4" t="s">
        <v>64</v>
      </c>
      <c r="D32" s="3"/>
      <c r="E32" s="6"/>
      <c r="F32" s="3"/>
    </row>
    <row r="33" spans="1:8" x14ac:dyDescent="0.3">
      <c r="A33" s="4" t="s">
        <v>65</v>
      </c>
      <c r="B33" s="4" t="s">
        <v>13</v>
      </c>
      <c r="C33" s="5">
        <v>1946250</v>
      </c>
      <c r="D33" s="7" t="s">
        <v>66</v>
      </c>
      <c r="E33" s="6">
        <v>23480462</v>
      </c>
      <c r="F33" s="3"/>
      <c r="G33" s="4" t="s">
        <v>15</v>
      </c>
      <c r="H33" s="4" t="s">
        <v>16</v>
      </c>
    </row>
    <row r="34" spans="1:8" x14ac:dyDescent="0.3">
      <c r="A34" s="4" t="s">
        <v>67</v>
      </c>
      <c r="B34" s="4" t="s">
        <v>13</v>
      </c>
      <c r="C34" s="5">
        <v>1288000</v>
      </c>
      <c r="D34" s="3" t="s">
        <v>68</v>
      </c>
      <c r="E34" s="6">
        <v>23487146</v>
      </c>
      <c r="F34" s="3"/>
      <c r="G34" s="4" t="s">
        <v>15</v>
      </c>
      <c r="H34" s="4" t="s">
        <v>16</v>
      </c>
    </row>
    <row r="35" spans="1:8" x14ac:dyDescent="0.3">
      <c r="A35" s="4" t="s">
        <v>69</v>
      </c>
      <c r="D35" s="3"/>
      <c r="E35" s="6"/>
      <c r="F35" s="3"/>
    </row>
    <row r="36" spans="1:8" x14ac:dyDescent="0.3">
      <c r="A36" s="4" t="s">
        <v>71</v>
      </c>
      <c r="B36" s="4" t="s">
        <v>25</v>
      </c>
      <c r="C36" s="5">
        <v>6704100</v>
      </c>
      <c r="D36" s="7" t="s">
        <v>72</v>
      </c>
      <c r="E36" s="6">
        <v>5908926</v>
      </c>
      <c r="F36" s="3"/>
      <c r="G36" s="7" t="s">
        <v>15</v>
      </c>
      <c r="H36" s="4" t="s">
        <v>27</v>
      </c>
    </row>
    <row r="37" spans="1:8" x14ac:dyDescent="0.3">
      <c r="A37" s="4" t="s">
        <v>73</v>
      </c>
      <c r="B37" s="4" t="s">
        <v>13</v>
      </c>
      <c r="C37" s="5">
        <v>2558250</v>
      </c>
      <c r="D37" s="3" t="s">
        <v>74</v>
      </c>
      <c r="E37" s="6">
        <v>198959</v>
      </c>
      <c r="F37" s="3" t="s">
        <v>155</v>
      </c>
      <c r="G37" s="4" t="s">
        <v>15</v>
      </c>
      <c r="H37" s="4" t="s">
        <v>16</v>
      </c>
    </row>
    <row r="38" spans="1:8" x14ac:dyDescent="0.3">
      <c r="A38" s="4" t="s">
        <v>75</v>
      </c>
      <c r="B38" s="4" t="s">
        <v>13</v>
      </c>
      <c r="C38" s="5">
        <v>1354100</v>
      </c>
      <c r="D38" s="3" t="s">
        <v>145</v>
      </c>
      <c r="E38" s="6"/>
      <c r="F38" s="3"/>
      <c r="G38" s="4" t="s">
        <v>15</v>
      </c>
      <c r="H38" s="4" t="s">
        <v>16</v>
      </c>
    </row>
    <row r="39" spans="1:8" x14ac:dyDescent="0.3">
      <c r="A39" s="4" t="s">
        <v>76</v>
      </c>
      <c r="B39" s="4" t="s">
        <v>25</v>
      </c>
      <c r="C39" s="5">
        <v>1996100</v>
      </c>
      <c r="D39" s="3" t="s">
        <v>77</v>
      </c>
      <c r="E39" s="6">
        <v>8989</v>
      </c>
      <c r="F39" s="3"/>
      <c r="G39" s="7" t="s">
        <v>15</v>
      </c>
      <c r="H39" s="4" t="s">
        <v>27</v>
      </c>
    </row>
    <row r="40" spans="1:8" x14ac:dyDescent="0.3">
      <c r="A40" s="4" t="s">
        <v>78</v>
      </c>
      <c r="D40" s="3"/>
      <c r="E40" s="6"/>
      <c r="F40" s="3"/>
    </row>
    <row r="41" spans="1:8" x14ac:dyDescent="0.3">
      <c r="A41" s="4" t="s">
        <v>79</v>
      </c>
      <c r="D41" s="3"/>
      <c r="E41" s="6"/>
      <c r="F41" s="3"/>
    </row>
    <row r="42" spans="1:8" x14ac:dyDescent="0.3">
      <c r="A42" s="4" t="s">
        <v>80</v>
      </c>
      <c r="D42" s="7"/>
      <c r="E42" s="6"/>
      <c r="F42" s="3"/>
    </row>
    <row r="43" spans="1:8" x14ac:dyDescent="0.3">
      <c r="A43" s="4" t="s">
        <v>81</v>
      </c>
      <c r="B43" s="4" t="s">
        <v>9</v>
      </c>
      <c r="C43" s="5">
        <v>604800</v>
      </c>
      <c r="D43" s="3" t="s">
        <v>82</v>
      </c>
      <c r="E43" s="6">
        <v>5861474</v>
      </c>
      <c r="F43" s="3"/>
      <c r="G43" s="4" t="s">
        <v>11</v>
      </c>
    </row>
    <row r="44" spans="1:8" x14ac:dyDescent="0.3">
      <c r="A44" s="4" t="s">
        <v>83</v>
      </c>
      <c r="B44" s="4" t="s">
        <v>13</v>
      </c>
      <c r="C44" s="5">
        <v>6111550</v>
      </c>
      <c r="D44" s="3" t="s">
        <v>84</v>
      </c>
      <c r="E44" s="6">
        <v>25236796</v>
      </c>
      <c r="F44" s="3"/>
      <c r="G44" s="4" t="s">
        <v>15</v>
      </c>
      <c r="H44" s="4" t="s">
        <v>16</v>
      </c>
    </row>
    <row r="45" spans="1:8" x14ac:dyDescent="0.3">
      <c r="A45" s="4" t="s">
        <v>85</v>
      </c>
      <c r="B45" s="4" t="s">
        <v>13</v>
      </c>
      <c r="C45" s="5">
        <v>3365700</v>
      </c>
      <c r="D45" s="3" t="s">
        <v>86</v>
      </c>
      <c r="E45" s="6">
        <v>186013</v>
      </c>
      <c r="F45" s="3"/>
      <c r="G45" s="4" t="s">
        <v>15</v>
      </c>
      <c r="H45" s="4" t="s">
        <v>16</v>
      </c>
    </row>
    <row r="46" spans="1:8" x14ac:dyDescent="0.3">
      <c r="A46" s="4" t="s">
        <v>87</v>
      </c>
      <c r="B46" s="4" t="s">
        <v>13</v>
      </c>
      <c r="C46" s="5">
        <v>3225100</v>
      </c>
      <c r="D46" s="3" t="s">
        <v>88</v>
      </c>
      <c r="E46" s="6"/>
      <c r="F46" s="3"/>
      <c r="G46" s="4" t="s">
        <v>15</v>
      </c>
      <c r="H46" s="4" t="s">
        <v>16</v>
      </c>
    </row>
    <row r="47" spans="1:8" x14ac:dyDescent="0.3">
      <c r="A47" s="4" t="s">
        <v>89</v>
      </c>
      <c r="B47" s="4" t="s">
        <v>13</v>
      </c>
      <c r="C47" s="5">
        <v>3106700</v>
      </c>
      <c r="D47" s="3" t="s">
        <v>90</v>
      </c>
      <c r="E47" s="6"/>
      <c r="F47" s="3"/>
      <c r="G47" s="4" t="s">
        <v>15</v>
      </c>
      <c r="H47" s="4" t="s">
        <v>16</v>
      </c>
    </row>
    <row r="48" spans="1:8" x14ac:dyDescent="0.3">
      <c r="A48" s="4" t="s">
        <v>91</v>
      </c>
      <c r="B48" s="4" t="s">
        <v>9</v>
      </c>
      <c r="C48" s="5">
        <v>970000</v>
      </c>
      <c r="D48" s="7" t="s">
        <v>92</v>
      </c>
      <c r="E48" s="6">
        <v>515231</v>
      </c>
      <c r="F48" s="3"/>
      <c r="G48" s="4" t="s">
        <v>11</v>
      </c>
    </row>
    <row r="49" spans="1:8" x14ac:dyDescent="0.3">
      <c r="A49" s="4" t="s">
        <v>93</v>
      </c>
      <c r="B49" s="4" t="s">
        <v>13</v>
      </c>
      <c r="C49" s="5">
        <v>2385800</v>
      </c>
      <c r="D49" s="3" t="s">
        <v>94</v>
      </c>
      <c r="E49" s="6">
        <v>186419</v>
      </c>
      <c r="F49" s="3"/>
      <c r="G49" s="4" t="s">
        <v>15</v>
      </c>
      <c r="H49" s="4" t="s">
        <v>16</v>
      </c>
    </row>
    <row r="50" spans="1:8" x14ac:dyDescent="0.3">
      <c r="A50" s="4" t="s">
        <v>95</v>
      </c>
      <c r="D50" s="7"/>
      <c r="E50" s="6"/>
      <c r="F50" s="3"/>
    </row>
    <row r="51" spans="1:8" x14ac:dyDescent="0.3">
      <c r="A51" s="4" t="s">
        <v>96</v>
      </c>
      <c r="B51" s="4" t="s">
        <v>13</v>
      </c>
      <c r="C51" s="5">
        <v>1182500</v>
      </c>
      <c r="D51" s="7" t="s">
        <v>97</v>
      </c>
      <c r="E51" s="6">
        <v>167006</v>
      </c>
      <c r="F51" s="3"/>
      <c r="G51" s="4" t="s">
        <v>15</v>
      </c>
      <c r="H51" s="4" t="s">
        <v>16</v>
      </c>
    </row>
    <row r="52" spans="1:8" x14ac:dyDescent="0.3">
      <c r="A52" s="4" t="s">
        <v>98</v>
      </c>
      <c r="B52" s="4" t="s">
        <v>9</v>
      </c>
      <c r="C52" s="5">
        <v>1244350</v>
      </c>
      <c r="D52" s="3" t="s">
        <v>99</v>
      </c>
      <c r="E52" s="6">
        <v>2126298</v>
      </c>
      <c r="F52" s="3"/>
      <c r="G52" s="4" t="s">
        <v>11</v>
      </c>
    </row>
    <row r="53" spans="1:8" x14ac:dyDescent="0.3">
      <c r="A53" s="4" t="s">
        <v>100</v>
      </c>
      <c r="B53" s="4" t="s">
        <v>9</v>
      </c>
      <c r="C53" s="5">
        <v>1358200</v>
      </c>
      <c r="D53" s="8" t="s">
        <v>101</v>
      </c>
      <c r="E53" s="9">
        <v>6499067</v>
      </c>
      <c r="F53" s="7"/>
      <c r="G53" s="7" t="s">
        <v>11</v>
      </c>
    </row>
    <row r="54" spans="1:8" x14ac:dyDescent="0.3">
      <c r="A54" s="4" t="s">
        <v>102</v>
      </c>
      <c r="B54" s="4" t="s">
        <v>9</v>
      </c>
      <c r="C54" s="5">
        <v>670100</v>
      </c>
      <c r="D54" s="3" t="s">
        <v>103</v>
      </c>
      <c r="E54" s="6">
        <v>1222350</v>
      </c>
      <c r="F54" s="3"/>
      <c r="G54" s="4" t="s">
        <v>11</v>
      </c>
    </row>
    <row r="55" spans="1:8" x14ac:dyDescent="0.3">
      <c r="A55" s="4" t="s">
        <v>104</v>
      </c>
      <c r="B55" s="4" t="s">
        <v>9</v>
      </c>
      <c r="C55" s="5">
        <v>835400</v>
      </c>
      <c r="D55" s="7" t="s">
        <v>105</v>
      </c>
      <c r="E55" s="6">
        <v>301475</v>
      </c>
      <c r="F55" s="3"/>
      <c r="G55" s="4" t="s">
        <v>11</v>
      </c>
    </row>
    <row r="56" spans="1:8" x14ac:dyDescent="0.3">
      <c r="A56" s="4" t="s">
        <v>106</v>
      </c>
      <c r="B56" s="4" t="s">
        <v>13</v>
      </c>
      <c r="C56" s="5">
        <v>2589900</v>
      </c>
      <c r="D56" s="3" t="s">
        <v>107</v>
      </c>
      <c r="E56" s="6">
        <v>179287</v>
      </c>
      <c r="F56" s="3"/>
      <c r="G56" s="4" t="s">
        <v>15</v>
      </c>
      <c r="H56" s="4" t="s">
        <v>16</v>
      </c>
    </row>
    <row r="57" spans="1:8" x14ac:dyDescent="0.3">
      <c r="A57" s="4" t="s">
        <v>108</v>
      </c>
      <c r="B57" s="4" t="s">
        <v>13</v>
      </c>
      <c r="D57" s="7" t="s">
        <v>135</v>
      </c>
      <c r="E57" s="6"/>
      <c r="F57" s="3"/>
    </row>
    <row r="58" spans="1:8" x14ac:dyDescent="0.3">
      <c r="A58" s="4" t="s">
        <v>109</v>
      </c>
      <c r="B58" s="4" t="s">
        <v>13</v>
      </c>
      <c r="C58" s="5">
        <v>2302200</v>
      </c>
      <c r="D58" s="3" t="s">
        <v>110</v>
      </c>
      <c r="E58" s="6"/>
      <c r="F58" s="3"/>
      <c r="G58" s="4" t="s">
        <v>15</v>
      </c>
      <c r="H58" s="4" t="s">
        <v>16</v>
      </c>
    </row>
    <row r="59" spans="1:8" x14ac:dyDescent="0.3">
      <c r="A59" s="4" t="s">
        <v>111</v>
      </c>
      <c r="D59" s="3"/>
      <c r="E59" s="6"/>
      <c r="F59" s="3"/>
    </row>
    <row r="60" spans="1:8" x14ac:dyDescent="0.3">
      <c r="A60" s="4" t="s">
        <v>111</v>
      </c>
      <c r="B60" s="4" t="s">
        <v>25</v>
      </c>
      <c r="C60" s="5">
        <v>1796670</v>
      </c>
      <c r="D60" s="3" t="s">
        <v>158</v>
      </c>
      <c r="E60" s="6" t="s">
        <v>159</v>
      </c>
      <c r="F60" s="3" t="s">
        <v>160</v>
      </c>
      <c r="G60" s="4" t="s">
        <v>15</v>
      </c>
      <c r="H60" s="4" t="s">
        <v>27</v>
      </c>
    </row>
    <row r="61" spans="1:8" x14ac:dyDescent="0.3">
      <c r="A61" s="4" t="s">
        <v>113</v>
      </c>
      <c r="B61" s="4" t="s">
        <v>25</v>
      </c>
      <c r="C61" s="5">
        <v>4418500</v>
      </c>
      <c r="D61" s="3" t="s">
        <v>92</v>
      </c>
      <c r="E61" s="6" t="s">
        <v>150</v>
      </c>
      <c r="F61" s="3" t="s">
        <v>151</v>
      </c>
      <c r="G61" s="7" t="s">
        <v>15</v>
      </c>
    </row>
    <row r="62" spans="1:8" s="10" customFormat="1" ht="15" thickBot="1" x14ac:dyDescent="0.35">
      <c r="A62" s="10" t="s">
        <v>114</v>
      </c>
      <c r="B62" s="4"/>
      <c r="C62" s="11">
        <f>SUM(C2:C61)</f>
        <v>81500395</v>
      </c>
      <c r="D62" s="4"/>
    </row>
    <row r="63" spans="1:8" ht="15" thickTop="1" x14ac:dyDescent="0.3"/>
    <row r="68" spans="4:4" x14ac:dyDescent="0.3">
      <c r="D68" s="12"/>
    </row>
  </sheetData>
  <conditionalFormatting sqref="F14:F15">
    <cfRule type="containsText" dxfId="985" priority="115" operator="containsText" text="No">
      <formula>NOT(ISERROR(SEARCH("No",F14)))</formula>
    </cfRule>
    <cfRule type="containsText" dxfId="984" priority="116" operator="containsText" text="Yes">
      <formula>NOT(ISERROR(SEARCH("Yes",F14)))</formula>
    </cfRule>
  </conditionalFormatting>
  <conditionalFormatting sqref="G1">
    <cfRule type="containsText" dxfId="983" priority="131" operator="containsText" text="No">
      <formula>NOT(ISERROR(SEARCH("No",G1)))</formula>
    </cfRule>
    <cfRule type="containsText" dxfId="982" priority="132" operator="containsText" text="Yes">
      <formula>NOT(ISERROR(SEARCH("Yes",G1)))</formula>
    </cfRule>
  </conditionalFormatting>
  <conditionalFormatting sqref="G16 G19">
    <cfRule type="containsText" dxfId="981" priority="121" operator="containsText" text="No">
      <formula>NOT(ISERROR(SEARCH("No",G16)))</formula>
    </cfRule>
    <cfRule type="containsText" dxfId="980" priority="122" operator="containsText" text="Yes">
      <formula>NOT(ISERROR(SEARCH("Yes",G16)))</formula>
    </cfRule>
  </conditionalFormatting>
  <conditionalFormatting sqref="G29">
    <cfRule type="containsText" dxfId="979" priority="119" operator="containsText" text="No">
      <formula>NOT(ISERROR(SEARCH("No",G29)))</formula>
    </cfRule>
    <cfRule type="containsText" dxfId="978" priority="120" operator="containsText" text="Yes">
      <formula>NOT(ISERROR(SEARCH("Yes",G29)))</formula>
    </cfRule>
  </conditionalFormatting>
  <conditionalFormatting sqref="G40">
    <cfRule type="containsText" dxfId="977" priority="135" operator="containsText" text="No">
      <formula>NOT(ISERROR(SEARCH("No",G40)))</formula>
    </cfRule>
    <cfRule type="containsText" dxfId="976" priority="136" operator="containsText" text="Yes">
      <formula>NOT(ISERROR(SEARCH("Yes",G40)))</formula>
    </cfRule>
  </conditionalFormatting>
  <conditionalFormatting sqref="G43">
    <cfRule type="containsText" dxfId="975" priority="129" operator="containsText" text="No">
      <formula>NOT(ISERROR(SEARCH("No",G43)))</formula>
    </cfRule>
    <cfRule type="containsText" dxfId="974" priority="130" operator="containsText" text="Yes">
      <formula>NOT(ISERROR(SEARCH("Yes",G43)))</formula>
    </cfRule>
  </conditionalFormatting>
  <conditionalFormatting sqref="G52">
    <cfRule type="containsText" dxfId="973" priority="127" operator="containsText" text="No">
      <formula>NOT(ISERROR(SEARCH("No",G52)))</formula>
    </cfRule>
    <cfRule type="containsText" dxfId="972" priority="128" operator="containsText" text="Yes">
      <formula>NOT(ISERROR(SEARCH("Yes",G52)))</formula>
    </cfRule>
  </conditionalFormatting>
  <conditionalFormatting sqref="G62:G1048576">
    <cfRule type="containsText" dxfId="971" priority="133" operator="containsText" text="No">
      <formula>NOT(ISERROR(SEARCH("No",G62)))</formula>
    </cfRule>
    <cfRule type="containsText" dxfId="970" priority="134" operator="containsText" text="Yes">
      <formula>NOT(ISERROR(SEARCH("Yes",G62)))</formula>
    </cfRule>
  </conditionalFormatting>
  <conditionalFormatting sqref="G2:H7">
    <cfRule type="containsText" dxfId="969" priority="11" operator="containsText" text="No">
      <formula>NOT(ISERROR(SEARCH("No",G2)))</formula>
    </cfRule>
    <cfRule type="containsText" dxfId="968" priority="12" operator="containsText" text="Yes">
      <formula>NOT(ISERROR(SEARCH("Yes",G2)))</formula>
    </cfRule>
  </conditionalFormatting>
  <conditionalFormatting sqref="G20:H22">
    <cfRule type="containsText" dxfId="967" priority="111" operator="containsText" text="No">
      <formula>NOT(ISERROR(SEARCH("No",G20)))</formula>
    </cfRule>
    <cfRule type="containsText" dxfId="966" priority="112" operator="containsText" text="Yes">
      <formula>NOT(ISERROR(SEARCH("Yes",G20)))</formula>
    </cfRule>
  </conditionalFormatting>
  <conditionalFormatting sqref="G23:H28">
    <cfRule type="containsText" dxfId="965" priority="29" operator="containsText" text="No">
      <formula>NOT(ISERROR(SEARCH("No",G23)))</formula>
    </cfRule>
    <cfRule type="containsText" dxfId="964" priority="30" operator="containsText" text="Yes">
      <formula>NOT(ISERROR(SEARCH("Yes",G23)))</formula>
    </cfRule>
  </conditionalFormatting>
  <conditionalFormatting sqref="G30:H39">
    <cfRule type="containsText" dxfId="963" priority="7" operator="containsText" text="No">
      <formula>NOT(ISERROR(SEARCH("No",G30)))</formula>
    </cfRule>
    <cfRule type="containsText" dxfId="962" priority="8" operator="containsText" text="Yes">
      <formula>NOT(ISERROR(SEARCH("Yes",G30)))</formula>
    </cfRule>
  </conditionalFormatting>
  <conditionalFormatting sqref="G41:H42">
    <cfRule type="containsText" dxfId="961" priority="89" operator="containsText" text="No">
      <formula>NOT(ISERROR(SEARCH("No",G41)))</formula>
    </cfRule>
    <cfRule type="containsText" dxfId="960" priority="90" operator="containsText" text="Yes">
      <formula>NOT(ISERROR(SEARCH("Yes",G41)))</formula>
    </cfRule>
  </conditionalFormatting>
  <conditionalFormatting sqref="G44:H51">
    <cfRule type="containsText" dxfId="959" priority="3" operator="containsText" text="No">
      <formula>NOT(ISERROR(SEARCH("No",G44)))</formula>
    </cfRule>
    <cfRule type="containsText" dxfId="958" priority="4" operator="containsText" text="Yes">
      <formula>NOT(ISERROR(SEARCH("Yes",G44)))</formula>
    </cfRule>
  </conditionalFormatting>
  <conditionalFormatting sqref="G53:H61">
    <cfRule type="containsText" dxfId="957" priority="25" operator="containsText" text="No">
      <formula>NOT(ISERROR(SEARCH("No",G53)))</formula>
    </cfRule>
    <cfRule type="containsText" dxfId="956" priority="26" operator="containsText" text="Yes">
      <formula>NOT(ISERROR(SEARCH("Yes",G53)))</formula>
    </cfRule>
  </conditionalFormatting>
  <conditionalFormatting sqref="G8:I15">
    <cfRule type="containsText" dxfId="955" priority="1" operator="containsText" text="No">
      <formula>NOT(ISERROR(SEARCH("No",G8)))</formula>
    </cfRule>
    <cfRule type="containsText" dxfId="954" priority="2" operator="containsText" text="Yes">
      <formula>NOT(ISERROR(SEARCH("Yes",G8)))</formula>
    </cfRule>
  </conditionalFormatting>
  <conditionalFormatting sqref="G17:I18">
    <cfRule type="containsText" dxfId="953" priority="19" operator="containsText" text="No">
      <formula>NOT(ISERROR(SEARCH("No",G17)))</formula>
    </cfRule>
    <cfRule type="containsText" dxfId="952" priority="20" operator="containsText" text="Yes">
      <formula>NOT(ISERROR(SEARCH("Yes",G17)))</formula>
    </cfRule>
  </conditionalFormatting>
  <conditionalFormatting sqref="H21">
    <cfRule type="containsText" dxfId="951" priority="109" operator="containsText" text="No">
      <formula>NOT(ISERROR(SEARCH("No",H21)))</formula>
    </cfRule>
    <cfRule type="containsText" dxfId="950" priority="110" operator="containsText" text="Yes">
      <formula>NOT(ISERROR(SEARCH("Yes",H21)))</formula>
    </cfRule>
  </conditionalFormatting>
  <conditionalFormatting sqref="H28">
    <cfRule type="containsText" dxfId="949" priority="123" operator="containsText" text="No">
      <formula>NOT(ISERROR(SEARCH("No",H28)))</formula>
    </cfRule>
    <cfRule type="containsText" dxfId="948" priority="124" operator="containsText" text="Yes">
      <formula>NOT(ISERROR(SEARCH("Yes",H28)))</formula>
    </cfRule>
  </conditionalFormatting>
  <conditionalFormatting sqref="I20">
    <cfRule type="containsText" dxfId="947" priority="125" operator="containsText" text="No">
      <formula>NOT(ISERROR(SEARCH("No",I20)))</formula>
    </cfRule>
    <cfRule type="containsText" dxfId="946" priority="126" operator="containsText" text="Yes">
      <formula>NOT(ISERROR(SEARCH("Yes",I20)))</formula>
    </cfRule>
  </conditionalFormatting>
  <conditionalFormatting sqref="I20:I27 I30">
    <cfRule type="containsText" dxfId="945" priority="117" operator="containsText" text="No">
      <formula>NOT(ISERROR(SEARCH("No",I20)))</formula>
    </cfRule>
    <cfRule type="containsText" dxfId="944" priority="118" operator="containsText" text="Yes">
      <formula>NOT(ISERROR(SEARCH("Yes",I20)))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7"/>
  <sheetViews>
    <sheetView workbookViewId="0">
      <pane ySplit="1" topLeftCell="A25" activePane="bottomLeft" state="frozen"/>
      <selection pane="bottomLeft" activeCell="D51" sqref="D51"/>
    </sheetView>
  </sheetViews>
  <sheetFormatPr defaultColWidth="10" defaultRowHeight="14.4" x14ac:dyDescent="0.3"/>
  <cols>
    <col min="1" max="1" width="17.5546875" style="4" bestFit="1" customWidth="1"/>
    <col min="2" max="2" width="12.33203125" style="4" bestFit="1" customWidth="1"/>
    <col min="3" max="3" width="18.5546875" style="5" bestFit="1" customWidth="1"/>
    <col min="4" max="4" width="23.88671875" style="4" bestFit="1" customWidth="1"/>
    <col min="5" max="5" width="16.6640625" style="4" bestFit="1" customWidth="1"/>
    <col min="6" max="6" width="14.6640625" style="4" bestFit="1" customWidth="1"/>
    <col min="7" max="7" width="14.6640625" style="4" customWidth="1"/>
    <col min="8" max="8" width="12.109375" style="4" bestFit="1" customWidth="1"/>
    <col min="9" max="9" width="10.33203125" style="4" bestFit="1" customWidth="1"/>
    <col min="10" max="16384" width="10" style="4"/>
  </cols>
  <sheetData>
    <row r="1" spans="1:9" s="1" customForma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s="1" customFormat="1" x14ac:dyDescent="0.3">
      <c r="A2" s="3" t="s">
        <v>8</v>
      </c>
      <c r="B2" s="4" t="s">
        <v>9</v>
      </c>
      <c r="C2" s="5">
        <v>2348500</v>
      </c>
      <c r="D2" s="3" t="s">
        <v>10</v>
      </c>
      <c r="E2" s="6">
        <v>21286391</v>
      </c>
      <c r="F2" s="3"/>
      <c r="G2" s="4" t="s">
        <v>11</v>
      </c>
      <c r="H2" s="4"/>
      <c r="I2" s="3"/>
    </row>
    <row r="3" spans="1:9" x14ac:dyDescent="0.3">
      <c r="A3" s="4" t="s">
        <v>12</v>
      </c>
      <c r="B3" s="4" t="s">
        <v>13</v>
      </c>
      <c r="C3" s="5">
        <v>969850</v>
      </c>
      <c r="D3" s="3" t="s">
        <v>14</v>
      </c>
      <c r="E3" s="6">
        <v>163118</v>
      </c>
      <c r="F3" s="3" t="s">
        <v>175</v>
      </c>
      <c r="G3" s="4" t="s">
        <v>15</v>
      </c>
      <c r="H3" s="4" t="s">
        <v>16</v>
      </c>
    </row>
    <row r="4" spans="1:9" x14ac:dyDescent="0.3">
      <c r="A4" s="4" t="s">
        <v>17</v>
      </c>
      <c r="D4" s="3"/>
      <c r="E4" s="6"/>
      <c r="F4" s="3"/>
    </row>
    <row r="5" spans="1:9" x14ac:dyDescent="0.3">
      <c r="A5" s="4" t="s">
        <v>18</v>
      </c>
      <c r="B5" s="4" t="s">
        <v>13</v>
      </c>
      <c r="C5" s="5">
        <v>1055950</v>
      </c>
      <c r="D5" s="3" t="s">
        <v>19</v>
      </c>
      <c r="E5" s="6">
        <v>23487258</v>
      </c>
      <c r="F5" s="3"/>
      <c r="G5" s="4" t="s">
        <v>15</v>
      </c>
      <c r="H5" s="4" t="s">
        <v>16</v>
      </c>
    </row>
    <row r="6" spans="1:9" x14ac:dyDescent="0.3">
      <c r="A6" s="4" t="s">
        <v>20</v>
      </c>
      <c r="B6" s="4" t="s">
        <v>13</v>
      </c>
      <c r="C6" s="5">
        <v>818980</v>
      </c>
      <c r="D6" s="3" t="s">
        <v>21</v>
      </c>
      <c r="E6" s="6">
        <v>25461461</v>
      </c>
      <c r="F6" s="3"/>
      <c r="G6" s="4" t="s">
        <v>15</v>
      </c>
      <c r="H6" s="4" t="s">
        <v>16</v>
      </c>
    </row>
    <row r="7" spans="1:9" x14ac:dyDescent="0.3">
      <c r="A7" s="4" t="s">
        <v>22</v>
      </c>
      <c r="B7" s="4" t="s">
        <v>13</v>
      </c>
      <c r="C7" s="5">
        <v>817300</v>
      </c>
      <c r="D7" s="3" t="s">
        <v>23</v>
      </c>
      <c r="E7" s="6">
        <v>22698764</v>
      </c>
      <c r="F7" s="3"/>
      <c r="G7" s="4" t="s">
        <v>15</v>
      </c>
      <c r="H7" s="4" t="s">
        <v>16</v>
      </c>
    </row>
    <row r="8" spans="1:9" x14ac:dyDescent="0.3">
      <c r="A8" s="4" t="s">
        <v>24</v>
      </c>
      <c r="B8" s="4" t="s">
        <v>25</v>
      </c>
      <c r="C8" s="5">
        <v>767400</v>
      </c>
      <c r="D8" s="3" t="s">
        <v>26</v>
      </c>
      <c r="E8" s="6"/>
      <c r="F8" s="3"/>
      <c r="G8" s="4" t="s">
        <v>15</v>
      </c>
      <c r="H8" s="4" t="s">
        <v>27</v>
      </c>
    </row>
    <row r="9" spans="1:9" x14ac:dyDescent="0.3">
      <c r="A9" s="4" t="s">
        <v>28</v>
      </c>
      <c r="B9" s="4" t="s">
        <v>13</v>
      </c>
      <c r="C9" s="5">
        <v>1244450</v>
      </c>
      <c r="D9" s="3" t="s">
        <v>29</v>
      </c>
      <c r="E9" s="6">
        <v>23487255</v>
      </c>
      <c r="F9" s="3"/>
      <c r="G9" s="4" t="s">
        <v>15</v>
      </c>
      <c r="H9" s="4" t="s">
        <v>16</v>
      </c>
    </row>
    <row r="10" spans="1:9" x14ac:dyDescent="0.3">
      <c r="A10" s="4" t="s">
        <v>30</v>
      </c>
      <c r="B10" s="4" t="s">
        <v>25</v>
      </c>
      <c r="C10" s="5">
        <v>4016750</v>
      </c>
      <c r="D10" s="3" t="s">
        <v>136</v>
      </c>
      <c r="E10" s="6" t="s">
        <v>181</v>
      </c>
      <c r="F10" s="3" t="s">
        <v>182</v>
      </c>
      <c r="G10" s="4" t="s">
        <v>15</v>
      </c>
      <c r="H10" s="4" t="s">
        <v>27</v>
      </c>
    </row>
    <row r="11" spans="1:9" x14ac:dyDescent="0.3">
      <c r="A11" s="4" t="s">
        <v>31</v>
      </c>
      <c r="D11" s="3"/>
      <c r="E11" s="6"/>
      <c r="F11" s="3"/>
    </row>
    <row r="12" spans="1:9" x14ac:dyDescent="0.3">
      <c r="A12" s="4" t="s">
        <v>32</v>
      </c>
      <c r="B12" s="4" t="s">
        <v>9</v>
      </c>
      <c r="C12" s="5">
        <v>4203650</v>
      </c>
      <c r="D12" s="3" t="s">
        <v>137</v>
      </c>
      <c r="E12" s="6">
        <v>6288146</v>
      </c>
      <c r="F12" s="3"/>
      <c r="G12" s="4" t="s">
        <v>11</v>
      </c>
    </row>
    <row r="13" spans="1:9" x14ac:dyDescent="0.3">
      <c r="A13" s="4" t="s">
        <v>33</v>
      </c>
      <c r="B13" s="4" t="s">
        <v>13</v>
      </c>
      <c r="C13" s="5">
        <v>2504500</v>
      </c>
      <c r="D13" s="3" t="s">
        <v>34</v>
      </c>
      <c r="E13" s="6">
        <v>141331</v>
      </c>
      <c r="F13" s="3" t="s">
        <v>166</v>
      </c>
      <c r="G13" s="4" t="s">
        <v>15</v>
      </c>
      <c r="H13" s="4" t="s">
        <v>16</v>
      </c>
    </row>
    <row r="14" spans="1:9" x14ac:dyDescent="0.3">
      <c r="A14" s="4" t="s">
        <v>35</v>
      </c>
      <c r="B14" s="4" t="s">
        <v>13</v>
      </c>
      <c r="C14" s="5">
        <v>461700</v>
      </c>
      <c r="D14" s="3" t="s">
        <v>36</v>
      </c>
      <c r="E14" s="6">
        <v>151518</v>
      </c>
      <c r="F14" s="4" t="s">
        <v>173</v>
      </c>
      <c r="G14" s="4" t="s">
        <v>15</v>
      </c>
      <c r="H14" s="4" t="s">
        <v>16</v>
      </c>
    </row>
    <row r="15" spans="1:9" x14ac:dyDescent="0.3">
      <c r="A15" s="4" t="s">
        <v>37</v>
      </c>
      <c r="B15" s="4" t="s">
        <v>13</v>
      </c>
      <c r="C15" s="5">
        <v>1620820</v>
      </c>
      <c r="D15" s="3" t="s">
        <v>38</v>
      </c>
      <c r="E15" s="6"/>
      <c r="F15" s="4" t="s">
        <v>167</v>
      </c>
      <c r="G15" s="4" t="s">
        <v>15</v>
      </c>
      <c r="H15" s="4" t="s">
        <v>16</v>
      </c>
    </row>
    <row r="16" spans="1:9" x14ac:dyDescent="0.3">
      <c r="A16" s="4" t="s">
        <v>39</v>
      </c>
      <c r="D16" s="3"/>
      <c r="E16" s="6"/>
      <c r="F16" s="3"/>
    </row>
    <row r="17" spans="1:9" x14ac:dyDescent="0.3">
      <c r="A17" s="4" t="s">
        <v>40</v>
      </c>
      <c r="B17" s="4" t="s">
        <v>13</v>
      </c>
      <c r="C17" s="5">
        <v>1333450</v>
      </c>
      <c r="D17" s="3" t="s">
        <v>41</v>
      </c>
      <c r="E17" s="6">
        <v>25321940</v>
      </c>
      <c r="F17" s="3"/>
      <c r="G17" s="4" t="s">
        <v>15</v>
      </c>
      <c r="H17" s="4" t="s">
        <v>16</v>
      </c>
    </row>
    <row r="18" spans="1:9" x14ac:dyDescent="0.3">
      <c r="A18" s="4" t="s">
        <v>42</v>
      </c>
      <c r="D18" s="3"/>
      <c r="E18" s="6"/>
      <c r="F18" s="3"/>
    </row>
    <row r="19" spans="1:9" x14ac:dyDescent="0.3">
      <c r="A19" s="4" t="s">
        <v>43</v>
      </c>
      <c r="D19" s="3"/>
      <c r="E19" s="6"/>
      <c r="F19" s="3"/>
    </row>
    <row r="20" spans="1:9" x14ac:dyDescent="0.3">
      <c r="A20" s="4" t="s">
        <v>44</v>
      </c>
      <c r="B20" s="4" t="s">
        <v>25</v>
      </c>
      <c r="C20" s="5">
        <v>2011200</v>
      </c>
      <c r="D20" s="3" t="s">
        <v>45</v>
      </c>
      <c r="E20" s="6" t="s">
        <v>179</v>
      </c>
      <c r="F20" s="3" t="s">
        <v>180</v>
      </c>
      <c r="G20" s="4" t="s">
        <v>15</v>
      </c>
      <c r="H20" s="4" t="s">
        <v>27</v>
      </c>
      <c r="I20" s="5"/>
    </row>
    <row r="21" spans="1:9" x14ac:dyDescent="0.3">
      <c r="A21" s="4" t="s">
        <v>46</v>
      </c>
      <c r="B21" s="4" t="s">
        <v>25</v>
      </c>
      <c r="C21" s="5">
        <v>1252700</v>
      </c>
      <c r="D21" s="3" t="s">
        <v>47</v>
      </c>
      <c r="E21" s="6" t="s">
        <v>164</v>
      </c>
      <c r="F21" s="3" t="s">
        <v>165</v>
      </c>
      <c r="G21" s="4" t="s">
        <v>15</v>
      </c>
      <c r="H21" s="4" t="s">
        <v>27</v>
      </c>
    </row>
    <row r="22" spans="1:9" x14ac:dyDescent="0.3">
      <c r="A22" s="4" t="s">
        <v>49</v>
      </c>
      <c r="B22" s="4" t="s">
        <v>13</v>
      </c>
      <c r="C22" s="5">
        <v>1145900</v>
      </c>
      <c r="D22" s="3" t="s">
        <v>50</v>
      </c>
      <c r="E22" s="6">
        <v>163171</v>
      </c>
      <c r="F22" s="3" t="s">
        <v>174</v>
      </c>
      <c r="G22" s="4" t="s">
        <v>15</v>
      </c>
      <c r="H22" s="4" t="s">
        <v>16</v>
      </c>
    </row>
    <row r="23" spans="1:9" x14ac:dyDescent="0.3">
      <c r="A23" s="4" t="s">
        <v>51</v>
      </c>
      <c r="B23" s="4" t="s">
        <v>13</v>
      </c>
      <c r="C23" s="5">
        <v>2716650</v>
      </c>
      <c r="D23" s="5" t="s">
        <v>118</v>
      </c>
      <c r="E23" s="6"/>
      <c r="F23" s="3" t="s">
        <v>163</v>
      </c>
      <c r="G23" s="4" t="s">
        <v>15</v>
      </c>
      <c r="H23" s="4" t="s">
        <v>16</v>
      </c>
    </row>
    <row r="24" spans="1:9" x14ac:dyDescent="0.3">
      <c r="A24" s="4" t="s">
        <v>52</v>
      </c>
      <c r="D24" s="3"/>
      <c r="E24" s="6"/>
      <c r="F24" s="3"/>
    </row>
    <row r="25" spans="1:9" x14ac:dyDescent="0.3">
      <c r="A25" s="4" t="s">
        <v>53</v>
      </c>
      <c r="B25" s="4" t="s">
        <v>9</v>
      </c>
      <c r="C25" s="5">
        <v>4863200</v>
      </c>
      <c r="D25" s="3" t="s">
        <v>183</v>
      </c>
      <c r="E25" s="6">
        <v>6770055</v>
      </c>
      <c r="F25" s="3"/>
      <c r="G25" s="4" t="s">
        <v>11</v>
      </c>
    </row>
    <row r="26" spans="1:9" x14ac:dyDescent="0.3">
      <c r="A26" s="4" t="s">
        <v>55</v>
      </c>
      <c r="B26" s="4" t="s">
        <v>13</v>
      </c>
      <c r="C26" s="5">
        <v>992200</v>
      </c>
      <c r="D26" s="3" t="s">
        <v>56</v>
      </c>
      <c r="E26" s="6"/>
      <c r="F26" s="3"/>
      <c r="G26" s="4" t="s">
        <v>15</v>
      </c>
      <c r="H26" s="4" t="s">
        <v>16</v>
      </c>
    </row>
    <row r="27" spans="1:9" x14ac:dyDescent="0.3">
      <c r="A27" s="4" t="s">
        <v>57</v>
      </c>
      <c r="B27" s="4" t="s">
        <v>13</v>
      </c>
      <c r="C27" s="5">
        <v>685580</v>
      </c>
      <c r="D27" s="3" t="s">
        <v>58</v>
      </c>
      <c r="E27" s="6"/>
      <c r="F27" s="3"/>
      <c r="G27" s="4" t="s">
        <v>15</v>
      </c>
      <c r="H27" s="4" t="s">
        <v>16</v>
      </c>
    </row>
    <row r="28" spans="1:9" x14ac:dyDescent="0.3">
      <c r="A28" s="4" t="s">
        <v>59</v>
      </c>
      <c r="D28" s="3"/>
      <c r="E28" s="6"/>
      <c r="F28" s="3"/>
      <c r="G28" s="7"/>
      <c r="H28" s="5"/>
    </row>
    <row r="29" spans="1:9" x14ac:dyDescent="0.3">
      <c r="A29" s="4" t="s">
        <v>60</v>
      </c>
      <c r="D29" s="3"/>
      <c r="E29" s="6"/>
      <c r="F29" s="3"/>
    </row>
    <row r="30" spans="1:9" x14ac:dyDescent="0.3">
      <c r="A30" s="4" t="s">
        <v>61</v>
      </c>
      <c r="B30" s="4" t="s">
        <v>13</v>
      </c>
      <c r="C30" s="5">
        <v>2351900</v>
      </c>
      <c r="D30" s="3" t="s">
        <v>62</v>
      </c>
      <c r="E30" s="6">
        <v>23131310</v>
      </c>
      <c r="F30" s="3"/>
      <c r="G30" s="4" t="s">
        <v>15</v>
      </c>
      <c r="H30" s="4" t="s">
        <v>16</v>
      </c>
    </row>
    <row r="31" spans="1:9" x14ac:dyDescent="0.3">
      <c r="A31" s="4" t="s">
        <v>63</v>
      </c>
      <c r="D31" s="3"/>
      <c r="E31" s="6"/>
      <c r="F31" s="3"/>
    </row>
    <row r="32" spans="1:9" x14ac:dyDescent="0.3">
      <c r="A32" s="4" t="s">
        <v>64</v>
      </c>
      <c r="B32" s="4" t="s">
        <v>13</v>
      </c>
      <c r="C32" s="5">
        <v>773700</v>
      </c>
      <c r="D32" s="3" t="s">
        <v>168</v>
      </c>
      <c r="E32" s="6">
        <v>23487254</v>
      </c>
      <c r="F32" s="3"/>
      <c r="G32" s="4" t="s">
        <v>15</v>
      </c>
      <c r="H32" s="4" t="s">
        <v>16</v>
      </c>
    </row>
    <row r="33" spans="1:8" x14ac:dyDescent="0.3">
      <c r="A33" s="4" t="s">
        <v>65</v>
      </c>
      <c r="D33" s="7"/>
      <c r="E33" s="6"/>
      <c r="F33" s="3"/>
    </row>
    <row r="34" spans="1:8" x14ac:dyDescent="0.3">
      <c r="A34" s="4" t="s">
        <v>67</v>
      </c>
      <c r="B34" s="4" t="s">
        <v>13</v>
      </c>
      <c r="C34" s="5">
        <v>905000</v>
      </c>
      <c r="D34" s="3" t="s">
        <v>68</v>
      </c>
      <c r="E34" s="6">
        <v>23487252</v>
      </c>
      <c r="F34" s="3"/>
      <c r="G34" s="4" t="s">
        <v>15</v>
      </c>
      <c r="H34" s="4" t="s">
        <v>16</v>
      </c>
    </row>
    <row r="35" spans="1:8" x14ac:dyDescent="0.3">
      <c r="A35" s="4" t="s">
        <v>69</v>
      </c>
      <c r="D35" s="3"/>
      <c r="E35" s="6"/>
      <c r="F35" s="3"/>
    </row>
    <row r="36" spans="1:8" x14ac:dyDescent="0.3">
      <c r="A36" s="4" t="s">
        <v>71</v>
      </c>
      <c r="B36" s="4" t="s">
        <v>25</v>
      </c>
      <c r="C36" s="5">
        <v>4184300</v>
      </c>
      <c r="D36" s="7" t="s">
        <v>72</v>
      </c>
      <c r="E36" s="6">
        <v>4998982</v>
      </c>
      <c r="F36" s="3"/>
      <c r="G36" s="7" t="s">
        <v>15</v>
      </c>
      <c r="H36" s="4" t="s">
        <v>27</v>
      </c>
    </row>
    <row r="37" spans="1:8" x14ac:dyDescent="0.3">
      <c r="A37" s="4" t="s">
        <v>73</v>
      </c>
      <c r="B37" s="4" t="s">
        <v>13</v>
      </c>
      <c r="C37" s="5">
        <v>1415300</v>
      </c>
      <c r="D37" s="3" t="s">
        <v>74</v>
      </c>
      <c r="E37" s="6"/>
      <c r="F37" s="3"/>
      <c r="G37" s="4" t="s">
        <v>15</v>
      </c>
      <c r="H37" s="4" t="s">
        <v>16</v>
      </c>
    </row>
    <row r="38" spans="1:8" x14ac:dyDescent="0.3">
      <c r="A38" s="4" t="s">
        <v>75</v>
      </c>
      <c r="D38" s="3"/>
      <c r="E38" s="6"/>
      <c r="F38" s="3"/>
    </row>
    <row r="39" spans="1:8" x14ac:dyDescent="0.3">
      <c r="A39" s="4" t="s">
        <v>76</v>
      </c>
      <c r="B39" s="4" t="s">
        <v>25</v>
      </c>
      <c r="C39" s="5">
        <v>1572300</v>
      </c>
      <c r="D39" s="3" t="s">
        <v>77</v>
      </c>
      <c r="E39" s="6">
        <v>952391</v>
      </c>
      <c r="F39" s="3"/>
      <c r="G39" s="4" t="s">
        <v>15</v>
      </c>
      <c r="H39" s="4" t="s">
        <v>27</v>
      </c>
    </row>
    <row r="40" spans="1:8" x14ac:dyDescent="0.3">
      <c r="A40" s="4" t="s">
        <v>78</v>
      </c>
      <c r="D40" s="3"/>
      <c r="E40" s="6"/>
      <c r="F40" s="3"/>
    </row>
    <row r="41" spans="1:8" x14ac:dyDescent="0.3">
      <c r="A41" s="4" t="s">
        <v>79</v>
      </c>
      <c r="D41" s="3"/>
      <c r="E41" s="6"/>
      <c r="F41" s="3"/>
    </row>
    <row r="42" spans="1:8" x14ac:dyDescent="0.3">
      <c r="A42" s="4" t="s">
        <v>80</v>
      </c>
      <c r="D42" s="7"/>
      <c r="E42" s="6"/>
      <c r="F42" s="3"/>
    </row>
    <row r="43" spans="1:8" x14ac:dyDescent="0.3">
      <c r="A43" s="4" t="s">
        <v>81</v>
      </c>
      <c r="B43" s="4" t="s">
        <v>9</v>
      </c>
      <c r="C43" s="5">
        <v>1246600</v>
      </c>
      <c r="D43" s="3" t="s">
        <v>82</v>
      </c>
      <c r="E43" s="6">
        <v>2126280</v>
      </c>
      <c r="F43" s="3"/>
      <c r="G43" s="4" t="s">
        <v>11</v>
      </c>
    </row>
    <row r="44" spans="1:8" x14ac:dyDescent="0.3">
      <c r="A44" s="4" t="s">
        <v>83</v>
      </c>
      <c r="D44" s="3"/>
      <c r="E44" s="6"/>
      <c r="F44" s="3"/>
    </row>
    <row r="45" spans="1:8" x14ac:dyDescent="0.3">
      <c r="A45" s="4" t="s">
        <v>85</v>
      </c>
      <c r="B45" s="4" t="s">
        <v>13</v>
      </c>
      <c r="C45" s="5">
        <v>3779500</v>
      </c>
      <c r="D45" s="3" t="s">
        <v>86</v>
      </c>
      <c r="E45" s="6">
        <v>174178</v>
      </c>
      <c r="F45" s="3"/>
      <c r="G45" s="4" t="s">
        <v>15</v>
      </c>
      <c r="H45" s="4" t="s">
        <v>16</v>
      </c>
    </row>
    <row r="46" spans="1:8" x14ac:dyDescent="0.3">
      <c r="A46" s="4" t="s">
        <v>87</v>
      </c>
      <c r="B46" s="4" t="s">
        <v>13</v>
      </c>
      <c r="C46" s="5">
        <v>2600350</v>
      </c>
      <c r="D46" s="3" t="s">
        <v>88</v>
      </c>
      <c r="E46" s="6" t="s">
        <v>171</v>
      </c>
      <c r="F46" s="3" t="s">
        <v>172</v>
      </c>
      <c r="G46" s="4" t="s">
        <v>15</v>
      </c>
      <c r="H46" s="4" t="s">
        <v>27</v>
      </c>
    </row>
    <row r="47" spans="1:8" x14ac:dyDescent="0.3">
      <c r="A47" s="4" t="s">
        <v>89</v>
      </c>
      <c r="B47" s="4" t="s">
        <v>13</v>
      </c>
      <c r="C47" s="5">
        <v>2913050</v>
      </c>
      <c r="D47" s="3" t="s">
        <v>90</v>
      </c>
      <c r="E47" s="6"/>
      <c r="F47" s="3"/>
      <c r="G47" s="4" t="s">
        <v>15</v>
      </c>
      <c r="H47" s="4" t="s">
        <v>16</v>
      </c>
    </row>
    <row r="48" spans="1:8" x14ac:dyDescent="0.3">
      <c r="A48" s="4" t="s">
        <v>91</v>
      </c>
      <c r="B48" s="4" t="s">
        <v>9</v>
      </c>
      <c r="C48" s="5">
        <v>1230000</v>
      </c>
      <c r="D48" s="7" t="s">
        <v>92</v>
      </c>
      <c r="E48" s="6">
        <v>603991</v>
      </c>
      <c r="F48" s="3"/>
      <c r="G48" s="4" t="s">
        <v>11</v>
      </c>
    </row>
    <row r="49" spans="1:8" x14ac:dyDescent="0.3">
      <c r="A49" s="4" t="s">
        <v>93</v>
      </c>
      <c r="B49" s="4" t="s">
        <v>13</v>
      </c>
      <c r="C49" s="5">
        <v>1618600</v>
      </c>
      <c r="D49" s="3" t="s">
        <v>94</v>
      </c>
      <c r="E49" s="6">
        <v>146436</v>
      </c>
      <c r="F49" s="3" t="s">
        <v>169</v>
      </c>
      <c r="G49" s="4" t="s">
        <v>15</v>
      </c>
      <c r="H49" s="4" t="s">
        <v>16</v>
      </c>
    </row>
    <row r="50" spans="1:8" x14ac:dyDescent="0.3">
      <c r="A50" s="4" t="s">
        <v>95</v>
      </c>
      <c r="B50" s="4" t="s">
        <v>13</v>
      </c>
      <c r="C50" s="5">
        <v>2596100</v>
      </c>
      <c r="D50" s="7" t="s">
        <v>170</v>
      </c>
      <c r="E50" s="6">
        <v>140351</v>
      </c>
      <c r="F50" s="3"/>
      <c r="G50" s="4" t="s">
        <v>15</v>
      </c>
      <c r="H50" s="4" t="s">
        <v>16</v>
      </c>
    </row>
    <row r="51" spans="1:8" x14ac:dyDescent="0.3">
      <c r="A51" s="4" t="s">
        <v>96</v>
      </c>
      <c r="B51" s="4" t="s">
        <v>13</v>
      </c>
      <c r="C51" s="5">
        <v>636000</v>
      </c>
      <c r="D51" s="7" t="s">
        <v>97</v>
      </c>
      <c r="E51" s="6">
        <v>163353</v>
      </c>
      <c r="F51" s="3" t="s">
        <v>176</v>
      </c>
      <c r="G51" s="4" t="s">
        <v>15</v>
      </c>
      <c r="H51" s="4" t="s">
        <v>16</v>
      </c>
    </row>
    <row r="52" spans="1:8" x14ac:dyDescent="0.3">
      <c r="A52" s="4" t="s">
        <v>98</v>
      </c>
      <c r="B52" s="4" t="s">
        <v>9</v>
      </c>
      <c r="C52" s="5">
        <v>1410100</v>
      </c>
      <c r="D52" s="3" t="s">
        <v>99</v>
      </c>
      <c r="E52" s="6">
        <v>2126282</v>
      </c>
      <c r="F52" s="3"/>
      <c r="G52" s="4" t="s">
        <v>11</v>
      </c>
    </row>
    <row r="53" spans="1:8" x14ac:dyDescent="0.3">
      <c r="A53" s="4" t="s">
        <v>100</v>
      </c>
      <c r="B53" s="4" t="s">
        <v>9</v>
      </c>
      <c r="C53" s="5">
        <v>1172500</v>
      </c>
      <c r="D53" s="8" t="s">
        <v>101</v>
      </c>
      <c r="E53" s="9">
        <v>6500888</v>
      </c>
      <c r="F53" s="7"/>
      <c r="G53" s="7" t="s">
        <v>11</v>
      </c>
    </row>
    <row r="54" spans="1:8" x14ac:dyDescent="0.3">
      <c r="A54" s="4" t="s">
        <v>102</v>
      </c>
      <c r="B54" s="4" t="s">
        <v>9</v>
      </c>
      <c r="C54" s="5">
        <v>1659700</v>
      </c>
      <c r="D54" s="3" t="s">
        <v>103</v>
      </c>
      <c r="E54" s="6">
        <v>1223586</v>
      </c>
      <c r="F54" s="3"/>
      <c r="G54" s="4" t="s">
        <v>11</v>
      </c>
    </row>
    <row r="55" spans="1:8" x14ac:dyDescent="0.3">
      <c r="A55" s="4" t="s">
        <v>104</v>
      </c>
      <c r="B55" s="4" t="s">
        <v>9</v>
      </c>
      <c r="C55" s="5">
        <v>1082250</v>
      </c>
      <c r="D55" s="7" t="s">
        <v>105</v>
      </c>
      <c r="E55" s="6">
        <v>1379143</v>
      </c>
      <c r="F55" s="3"/>
      <c r="G55" s="4" t="s">
        <v>11</v>
      </c>
    </row>
    <row r="56" spans="1:8" x14ac:dyDescent="0.3">
      <c r="A56" s="4" t="s">
        <v>106</v>
      </c>
      <c r="B56" s="4" t="s">
        <v>13</v>
      </c>
      <c r="C56" s="5">
        <v>2015600</v>
      </c>
      <c r="D56" s="3" t="s">
        <v>107</v>
      </c>
      <c r="E56" s="6">
        <v>144344</v>
      </c>
      <c r="F56" s="3"/>
      <c r="G56" s="4" t="s">
        <v>15</v>
      </c>
      <c r="H56" s="4" t="s">
        <v>16</v>
      </c>
    </row>
    <row r="57" spans="1:8" x14ac:dyDescent="0.3">
      <c r="A57" s="4" t="s">
        <v>108</v>
      </c>
      <c r="B57" s="4" t="s">
        <v>13</v>
      </c>
      <c r="C57" s="5">
        <v>5095080</v>
      </c>
      <c r="D57" s="7" t="s">
        <v>135</v>
      </c>
      <c r="E57" s="6"/>
      <c r="F57" s="3"/>
      <c r="G57" s="4" t="s">
        <v>15</v>
      </c>
      <c r="H57" s="4" t="s">
        <v>16</v>
      </c>
    </row>
    <row r="58" spans="1:8" x14ac:dyDescent="0.3">
      <c r="A58" s="4" t="s">
        <v>109</v>
      </c>
      <c r="B58" s="4" t="s">
        <v>13</v>
      </c>
      <c r="C58" s="5">
        <v>2361500</v>
      </c>
      <c r="D58" s="3" t="s">
        <v>110</v>
      </c>
      <c r="E58" s="6"/>
      <c r="F58" s="3"/>
      <c r="G58" s="4" t="s">
        <v>15</v>
      </c>
      <c r="H58" s="4" t="s">
        <v>16</v>
      </c>
    </row>
    <row r="59" spans="1:8" x14ac:dyDescent="0.3">
      <c r="A59" s="4" t="s">
        <v>111</v>
      </c>
      <c r="B59" s="4" t="s">
        <v>13</v>
      </c>
      <c r="C59" s="5">
        <v>1690700</v>
      </c>
      <c r="D59" s="3" t="s">
        <v>132</v>
      </c>
      <c r="E59" s="6"/>
      <c r="F59" s="3" t="s">
        <v>184</v>
      </c>
      <c r="G59" s="4" t="s">
        <v>15</v>
      </c>
      <c r="H59" s="4" t="s">
        <v>16</v>
      </c>
    </row>
    <row r="60" spans="1:8" x14ac:dyDescent="0.3">
      <c r="A60" s="4" t="s">
        <v>113</v>
      </c>
      <c r="B60" s="4" t="s">
        <v>25</v>
      </c>
      <c r="C60" s="5">
        <v>4779800</v>
      </c>
      <c r="D60" s="3" t="s">
        <v>92</v>
      </c>
      <c r="E60" s="6" t="s">
        <v>177</v>
      </c>
      <c r="F60" s="3" t="s">
        <v>178</v>
      </c>
      <c r="G60" s="4" t="s">
        <v>15</v>
      </c>
      <c r="H60" s="4" t="s">
        <v>27</v>
      </c>
    </row>
    <row r="61" spans="1:8" s="10" customFormat="1" ht="15" thickBot="1" x14ac:dyDescent="0.35">
      <c r="A61" s="10" t="s">
        <v>114</v>
      </c>
      <c r="B61" s="4"/>
      <c r="C61" s="11">
        <f>SUM(C2:C60)</f>
        <v>84920660</v>
      </c>
      <c r="D61" s="4"/>
    </row>
    <row r="62" spans="1:8" ht="15" thickTop="1" x14ac:dyDescent="0.3"/>
    <row r="67" spans="4:4" x14ac:dyDescent="0.3">
      <c r="D67" s="12"/>
    </row>
  </sheetData>
  <conditionalFormatting sqref="F14:F15">
    <cfRule type="containsText" dxfId="943" priority="65" operator="containsText" text="No">
      <formula>NOT(ISERROR(SEARCH("No",F14)))</formula>
    </cfRule>
    <cfRule type="containsText" dxfId="942" priority="66" operator="containsText" text="Yes">
      <formula>NOT(ISERROR(SEARCH("Yes",F14)))</formula>
    </cfRule>
  </conditionalFormatting>
  <conditionalFormatting sqref="G1">
    <cfRule type="containsText" dxfId="941" priority="81" operator="containsText" text="No">
      <formula>NOT(ISERROR(SEARCH("No",G1)))</formula>
    </cfRule>
    <cfRule type="containsText" dxfId="940" priority="82" operator="containsText" text="Yes">
      <formula>NOT(ISERROR(SEARCH("Yes",G1)))</formula>
    </cfRule>
  </conditionalFormatting>
  <conditionalFormatting sqref="G16 G19">
    <cfRule type="containsText" dxfId="939" priority="71" operator="containsText" text="No">
      <formula>NOT(ISERROR(SEARCH("No",G16)))</formula>
    </cfRule>
    <cfRule type="containsText" dxfId="938" priority="72" operator="containsText" text="Yes">
      <formula>NOT(ISERROR(SEARCH("Yes",G16)))</formula>
    </cfRule>
  </conditionalFormatting>
  <conditionalFormatting sqref="G29">
    <cfRule type="containsText" dxfId="937" priority="69" operator="containsText" text="No">
      <formula>NOT(ISERROR(SEARCH("No",G29)))</formula>
    </cfRule>
    <cfRule type="containsText" dxfId="936" priority="70" operator="containsText" text="Yes">
      <formula>NOT(ISERROR(SEARCH("Yes",G29)))</formula>
    </cfRule>
  </conditionalFormatting>
  <conditionalFormatting sqref="G40">
    <cfRule type="containsText" dxfId="935" priority="85" operator="containsText" text="No">
      <formula>NOT(ISERROR(SEARCH("No",G40)))</formula>
    </cfRule>
    <cfRule type="containsText" dxfId="934" priority="86" operator="containsText" text="Yes">
      <formula>NOT(ISERROR(SEARCH("Yes",G40)))</formula>
    </cfRule>
  </conditionalFormatting>
  <conditionalFormatting sqref="G43">
    <cfRule type="containsText" dxfId="933" priority="79" operator="containsText" text="No">
      <formula>NOT(ISERROR(SEARCH("No",G43)))</formula>
    </cfRule>
    <cfRule type="containsText" dxfId="932" priority="80" operator="containsText" text="Yes">
      <formula>NOT(ISERROR(SEARCH("Yes",G43)))</formula>
    </cfRule>
  </conditionalFormatting>
  <conditionalFormatting sqref="G52">
    <cfRule type="containsText" dxfId="931" priority="77" operator="containsText" text="No">
      <formula>NOT(ISERROR(SEARCH("No",G52)))</formula>
    </cfRule>
    <cfRule type="containsText" dxfId="930" priority="78" operator="containsText" text="Yes">
      <formula>NOT(ISERROR(SEARCH("Yes",G52)))</formula>
    </cfRule>
  </conditionalFormatting>
  <conditionalFormatting sqref="G61:G1048576">
    <cfRule type="containsText" dxfId="929" priority="83" operator="containsText" text="No">
      <formula>NOT(ISERROR(SEARCH("No",G61)))</formula>
    </cfRule>
    <cfRule type="containsText" dxfId="928" priority="84" operator="containsText" text="Yes">
      <formula>NOT(ISERROR(SEARCH("Yes",G61)))</formula>
    </cfRule>
  </conditionalFormatting>
  <conditionalFormatting sqref="G2:H7">
    <cfRule type="containsText" dxfId="927" priority="1" operator="containsText" text="No">
      <formula>NOT(ISERROR(SEARCH("No",G2)))</formula>
    </cfRule>
    <cfRule type="containsText" dxfId="926" priority="2" operator="containsText" text="Yes">
      <formula>NOT(ISERROR(SEARCH("Yes",G2)))</formula>
    </cfRule>
  </conditionalFormatting>
  <conditionalFormatting sqref="G20:H28">
    <cfRule type="containsText" dxfId="925" priority="3" operator="containsText" text="No">
      <formula>NOT(ISERROR(SEARCH("No",G20)))</formula>
    </cfRule>
    <cfRule type="containsText" dxfId="924" priority="4" operator="containsText" text="Yes">
      <formula>NOT(ISERROR(SEARCH("Yes",G20)))</formula>
    </cfRule>
  </conditionalFormatting>
  <conditionalFormatting sqref="G30:H39">
    <cfRule type="containsText" dxfId="923" priority="13" operator="containsText" text="No">
      <formula>NOT(ISERROR(SEARCH("No",G30)))</formula>
    </cfRule>
    <cfRule type="containsText" dxfId="922" priority="14" operator="containsText" text="Yes">
      <formula>NOT(ISERROR(SEARCH("Yes",G30)))</formula>
    </cfRule>
  </conditionalFormatting>
  <conditionalFormatting sqref="G41:H42">
    <cfRule type="containsText" dxfId="921" priority="59" operator="containsText" text="No">
      <formula>NOT(ISERROR(SEARCH("No",G41)))</formula>
    </cfRule>
    <cfRule type="containsText" dxfId="920" priority="60" operator="containsText" text="Yes">
      <formula>NOT(ISERROR(SEARCH("Yes",G41)))</formula>
    </cfRule>
  </conditionalFormatting>
  <conditionalFormatting sqref="G44:H51">
    <cfRule type="containsText" dxfId="919" priority="19" operator="containsText" text="No">
      <formula>NOT(ISERROR(SEARCH("No",G44)))</formula>
    </cfRule>
    <cfRule type="containsText" dxfId="918" priority="20" operator="containsText" text="Yes">
      <formula>NOT(ISERROR(SEARCH("Yes",G44)))</formula>
    </cfRule>
  </conditionalFormatting>
  <conditionalFormatting sqref="G53:H60">
    <cfRule type="containsText" dxfId="917" priority="9" operator="containsText" text="No">
      <formula>NOT(ISERROR(SEARCH("No",G53)))</formula>
    </cfRule>
    <cfRule type="containsText" dxfId="916" priority="10" operator="containsText" text="Yes">
      <formula>NOT(ISERROR(SEARCH("Yes",G53)))</formula>
    </cfRule>
  </conditionalFormatting>
  <conditionalFormatting sqref="G8:I15">
    <cfRule type="containsText" dxfId="915" priority="5" operator="containsText" text="No">
      <formula>NOT(ISERROR(SEARCH("No",G8)))</formula>
    </cfRule>
    <cfRule type="containsText" dxfId="914" priority="6" operator="containsText" text="Yes">
      <formula>NOT(ISERROR(SEARCH("Yes",G8)))</formula>
    </cfRule>
  </conditionalFormatting>
  <conditionalFormatting sqref="G17:I18">
    <cfRule type="containsText" dxfId="913" priority="17" operator="containsText" text="No">
      <formula>NOT(ISERROR(SEARCH("No",G17)))</formula>
    </cfRule>
    <cfRule type="containsText" dxfId="912" priority="18" operator="containsText" text="Yes">
      <formula>NOT(ISERROR(SEARCH("Yes",G17)))</formula>
    </cfRule>
  </conditionalFormatting>
  <conditionalFormatting sqref="H28">
    <cfRule type="containsText" dxfId="911" priority="73" operator="containsText" text="No">
      <formula>NOT(ISERROR(SEARCH("No",H28)))</formula>
    </cfRule>
    <cfRule type="containsText" dxfId="910" priority="74" operator="containsText" text="Yes">
      <formula>NOT(ISERROR(SEARCH("Yes",H28)))</formula>
    </cfRule>
  </conditionalFormatting>
  <conditionalFormatting sqref="I20">
    <cfRule type="containsText" dxfId="909" priority="75" operator="containsText" text="No">
      <formula>NOT(ISERROR(SEARCH("No",I20)))</formula>
    </cfRule>
    <cfRule type="containsText" dxfId="908" priority="76" operator="containsText" text="Yes">
      <formula>NOT(ISERROR(SEARCH("Yes",I20)))</formula>
    </cfRule>
  </conditionalFormatting>
  <conditionalFormatting sqref="I20:I27 I30">
    <cfRule type="containsText" dxfId="907" priority="67" operator="containsText" text="No">
      <formula>NOT(ISERROR(SEARCH("No",I20)))</formula>
    </cfRule>
    <cfRule type="containsText" dxfId="906" priority="68" operator="containsText" text="Yes">
      <formula>NOT(ISERROR(SEARCH("Yes",I20)))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7"/>
  <sheetViews>
    <sheetView topLeftCell="A23" workbookViewId="0">
      <selection activeCell="C27" sqref="C27"/>
    </sheetView>
  </sheetViews>
  <sheetFormatPr defaultColWidth="10" defaultRowHeight="14.4" x14ac:dyDescent="0.3"/>
  <cols>
    <col min="1" max="1" width="17.5546875" style="4" bestFit="1" customWidth="1"/>
    <col min="2" max="2" width="12.33203125" style="4" bestFit="1" customWidth="1"/>
    <col min="3" max="3" width="18.5546875" style="5" bestFit="1" customWidth="1"/>
    <col min="4" max="4" width="23.88671875" style="4" bestFit="1" customWidth="1"/>
    <col min="5" max="5" width="16.6640625" style="4" bestFit="1" customWidth="1"/>
    <col min="6" max="6" width="14.6640625" style="4" bestFit="1" customWidth="1"/>
    <col min="7" max="7" width="14.6640625" style="4" customWidth="1"/>
    <col min="8" max="8" width="12.109375" style="4" bestFit="1" customWidth="1"/>
    <col min="9" max="9" width="10.33203125" style="4" bestFit="1" customWidth="1"/>
    <col min="10" max="16384" width="10" style="4"/>
  </cols>
  <sheetData>
    <row r="1" spans="1:9" s="1" customForma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s="1" customFormat="1" x14ac:dyDescent="0.3">
      <c r="A2" s="3" t="s">
        <v>8</v>
      </c>
      <c r="B2" s="4" t="s">
        <v>9</v>
      </c>
      <c r="C2" s="5">
        <v>1629000</v>
      </c>
      <c r="D2" s="3" t="s">
        <v>10</v>
      </c>
      <c r="E2" s="6">
        <v>21286380</v>
      </c>
      <c r="F2" s="3"/>
      <c r="G2" s="4" t="s">
        <v>11</v>
      </c>
      <c r="H2" s="4"/>
      <c r="I2" s="16" t="s">
        <v>195</v>
      </c>
    </row>
    <row r="3" spans="1:9" x14ac:dyDescent="0.3">
      <c r="A3" s="4" t="s">
        <v>12</v>
      </c>
      <c r="B3" s="4" t="s">
        <v>13</v>
      </c>
      <c r="C3" s="5">
        <v>1089060</v>
      </c>
      <c r="D3" s="3" t="s">
        <v>14</v>
      </c>
      <c r="E3" s="6">
        <v>1239563</v>
      </c>
      <c r="F3" s="16" t="s">
        <v>200</v>
      </c>
      <c r="G3" s="4" t="s">
        <v>15</v>
      </c>
      <c r="H3" s="4" t="s">
        <v>16</v>
      </c>
      <c r="I3" s="4" t="s">
        <v>195</v>
      </c>
    </row>
    <row r="4" spans="1:9" x14ac:dyDescent="0.3">
      <c r="A4" s="4" t="s">
        <v>17</v>
      </c>
      <c r="D4" s="16"/>
      <c r="E4" s="6"/>
      <c r="F4" s="3"/>
    </row>
    <row r="5" spans="1:9" x14ac:dyDescent="0.3">
      <c r="A5" s="4" t="s">
        <v>18</v>
      </c>
      <c r="D5" s="3"/>
      <c r="E5" s="6"/>
      <c r="F5" s="3"/>
    </row>
    <row r="6" spans="1:9" x14ac:dyDescent="0.3">
      <c r="A6" s="4" t="s">
        <v>20</v>
      </c>
      <c r="B6" s="4" t="s">
        <v>13</v>
      </c>
      <c r="C6" s="5">
        <v>359600</v>
      </c>
      <c r="D6" s="3" t="s">
        <v>21</v>
      </c>
      <c r="E6" s="6">
        <v>2461474</v>
      </c>
      <c r="F6" s="3"/>
      <c r="G6" s="4" t="s">
        <v>15</v>
      </c>
      <c r="H6" s="4" t="s">
        <v>16</v>
      </c>
      <c r="I6" s="4" t="s">
        <v>195</v>
      </c>
    </row>
    <row r="7" spans="1:9" x14ac:dyDescent="0.3">
      <c r="A7" s="4" t="s">
        <v>22</v>
      </c>
      <c r="B7" s="4" t="s">
        <v>13</v>
      </c>
      <c r="C7" s="5">
        <v>1341900</v>
      </c>
      <c r="D7" s="3" t="s">
        <v>23</v>
      </c>
      <c r="E7" s="6">
        <v>22698778</v>
      </c>
      <c r="F7" s="3"/>
      <c r="G7" s="4" t="s">
        <v>15</v>
      </c>
      <c r="H7" s="4" t="s">
        <v>16</v>
      </c>
      <c r="I7" s="4" t="s">
        <v>195</v>
      </c>
    </row>
    <row r="8" spans="1:9" x14ac:dyDescent="0.3">
      <c r="A8" s="4" t="s">
        <v>24</v>
      </c>
      <c r="B8" s="4" t="s">
        <v>25</v>
      </c>
      <c r="C8" s="5">
        <v>1146750</v>
      </c>
      <c r="D8" s="16" t="s">
        <v>26</v>
      </c>
      <c r="E8" s="6">
        <v>460246</v>
      </c>
      <c r="F8" s="3"/>
      <c r="G8" s="4" t="s">
        <v>15</v>
      </c>
      <c r="H8" s="4" t="s">
        <v>16</v>
      </c>
      <c r="I8" s="4" t="s">
        <v>203</v>
      </c>
    </row>
    <row r="9" spans="1:9" x14ac:dyDescent="0.3">
      <c r="A9" s="4" t="s">
        <v>28</v>
      </c>
      <c r="B9" s="4" t="s">
        <v>13</v>
      </c>
      <c r="C9" s="5">
        <v>1060460</v>
      </c>
      <c r="D9" s="3" t="s">
        <v>29</v>
      </c>
      <c r="E9" s="6">
        <v>23487271</v>
      </c>
      <c r="F9" s="3"/>
      <c r="G9" s="4" t="s">
        <v>15</v>
      </c>
      <c r="H9" s="4" t="s">
        <v>16</v>
      </c>
      <c r="I9" s="4" t="s">
        <v>195</v>
      </c>
    </row>
    <row r="10" spans="1:9" x14ac:dyDescent="0.3">
      <c r="A10" s="4" t="s">
        <v>30</v>
      </c>
      <c r="B10" s="4" t="s">
        <v>25</v>
      </c>
      <c r="C10" s="5">
        <v>3664150</v>
      </c>
      <c r="D10" s="3" t="s">
        <v>136</v>
      </c>
      <c r="E10" s="6"/>
      <c r="F10" s="16" t="s">
        <v>202</v>
      </c>
      <c r="G10" s="4" t="s">
        <v>15</v>
      </c>
      <c r="H10" s="4" t="s">
        <v>27</v>
      </c>
      <c r="I10" s="4" t="s">
        <v>195</v>
      </c>
    </row>
    <row r="11" spans="1:9" x14ac:dyDescent="0.3">
      <c r="A11" s="4" t="s">
        <v>31</v>
      </c>
      <c r="B11" s="4" t="s">
        <v>13</v>
      </c>
      <c r="C11" s="5">
        <v>3241650</v>
      </c>
      <c r="D11" s="3" t="s">
        <v>152</v>
      </c>
      <c r="E11" s="6">
        <v>1229323</v>
      </c>
      <c r="F11" s="3" t="s">
        <v>196</v>
      </c>
      <c r="G11" s="4" t="s">
        <v>15</v>
      </c>
      <c r="H11" s="4" t="s">
        <v>16</v>
      </c>
      <c r="I11" s="4" t="s">
        <v>195</v>
      </c>
    </row>
    <row r="12" spans="1:9" x14ac:dyDescent="0.3">
      <c r="A12" s="4" t="s">
        <v>32</v>
      </c>
      <c r="B12" s="4" t="s">
        <v>9</v>
      </c>
      <c r="C12" s="5">
        <v>3028600</v>
      </c>
      <c r="D12" s="16" t="s">
        <v>137</v>
      </c>
      <c r="E12" s="6">
        <v>628831</v>
      </c>
      <c r="F12" s="3"/>
      <c r="G12" s="4" t="s">
        <v>11</v>
      </c>
      <c r="I12" s="4" t="s">
        <v>195</v>
      </c>
    </row>
    <row r="13" spans="1:9" x14ac:dyDescent="0.3">
      <c r="A13" s="4" t="s">
        <v>33</v>
      </c>
      <c r="B13" s="4" t="s">
        <v>13</v>
      </c>
      <c r="C13" s="5">
        <v>854400</v>
      </c>
      <c r="D13" s="3" t="s">
        <v>34</v>
      </c>
      <c r="E13" s="6">
        <v>1224107</v>
      </c>
      <c r="F13" s="3" t="s">
        <v>190</v>
      </c>
      <c r="G13" s="4" t="s">
        <v>15</v>
      </c>
      <c r="H13" s="4" t="s">
        <v>16</v>
      </c>
      <c r="I13" s="4" t="s">
        <v>195</v>
      </c>
    </row>
    <row r="14" spans="1:9" x14ac:dyDescent="0.3">
      <c r="A14" s="4" t="s">
        <v>35</v>
      </c>
      <c r="B14" s="4" t="s">
        <v>13</v>
      </c>
      <c r="C14" s="5">
        <v>303265</v>
      </c>
      <c r="D14" s="3" t="s">
        <v>36</v>
      </c>
      <c r="E14" s="6"/>
      <c r="G14" s="4" t="s">
        <v>15</v>
      </c>
      <c r="H14" s="4" t="s">
        <v>16</v>
      </c>
      <c r="I14" s="4" t="s">
        <v>195</v>
      </c>
    </row>
    <row r="15" spans="1:9" x14ac:dyDescent="0.3">
      <c r="A15" s="4" t="s">
        <v>37</v>
      </c>
      <c r="B15" s="4" t="s">
        <v>13</v>
      </c>
      <c r="C15" s="5">
        <v>1121770</v>
      </c>
      <c r="D15" s="3" t="s">
        <v>38</v>
      </c>
      <c r="E15" s="6">
        <v>1222329</v>
      </c>
      <c r="F15" s="4" t="s">
        <v>186</v>
      </c>
      <c r="G15" s="4" t="s">
        <v>15</v>
      </c>
      <c r="H15" s="4" t="s">
        <v>16</v>
      </c>
      <c r="I15" s="4" t="s">
        <v>195</v>
      </c>
    </row>
    <row r="16" spans="1:9" x14ac:dyDescent="0.3">
      <c r="A16" s="4" t="s">
        <v>39</v>
      </c>
      <c r="D16" s="3"/>
      <c r="E16" s="6"/>
      <c r="F16" s="3"/>
    </row>
    <row r="17" spans="1:9" x14ac:dyDescent="0.3">
      <c r="A17" s="4" t="s">
        <v>40</v>
      </c>
      <c r="B17" s="4" t="s">
        <v>13</v>
      </c>
      <c r="C17" s="5">
        <v>2255200</v>
      </c>
      <c r="D17" s="3" t="s">
        <v>41</v>
      </c>
      <c r="E17" s="6">
        <v>25321993</v>
      </c>
      <c r="F17" s="3"/>
      <c r="G17" s="4" t="s">
        <v>15</v>
      </c>
      <c r="H17" s="4" t="s">
        <v>16</v>
      </c>
      <c r="I17" s="4" t="s">
        <v>195</v>
      </c>
    </row>
    <row r="18" spans="1:9" x14ac:dyDescent="0.3">
      <c r="A18" s="4" t="s">
        <v>42</v>
      </c>
      <c r="B18" s="4" t="s">
        <v>13</v>
      </c>
      <c r="C18" s="5">
        <v>1693050</v>
      </c>
      <c r="D18" s="3" t="s">
        <v>128</v>
      </c>
      <c r="E18" s="6">
        <v>1232106</v>
      </c>
      <c r="F18" s="3"/>
      <c r="G18" s="4" t="s">
        <v>15</v>
      </c>
      <c r="H18" s="4" t="s">
        <v>16</v>
      </c>
      <c r="I18" s="4" t="s">
        <v>195</v>
      </c>
    </row>
    <row r="19" spans="1:9" x14ac:dyDescent="0.3">
      <c r="A19" s="4" t="s">
        <v>43</v>
      </c>
      <c r="D19" s="3"/>
      <c r="E19" s="6"/>
      <c r="F19" s="3"/>
    </row>
    <row r="20" spans="1:9" x14ac:dyDescent="0.3">
      <c r="A20" s="4" t="s">
        <v>44</v>
      </c>
      <c r="B20" s="4" t="s">
        <v>25</v>
      </c>
      <c r="C20" s="5">
        <v>2907100</v>
      </c>
      <c r="D20" s="3" t="s">
        <v>45</v>
      </c>
      <c r="E20" s="15" t="s">
        <v>204</v>
      </c>
      <c r="F20" s="16" t="s">
        <v>205</v>
      </c>
      <c r="G20" s="4" t="s">
        <v>15</v>
      </c>
      <c r="H20" s="4" t="s">
        <v>16</v>
      </c>
      <c r="I20" s="18" t="s">
        <v>203</v>
      </c>
    </row>
    <row r="21" spans="1:9" x14ac:dyDescent="0.3">
      <c r="A21" s="4" t="s">
        <v>46</v>
      </c>
      <c r="B21" s="4" t="s">
        <v>25</v>
      </c>
      <c r="C21" s="5">
        <v>1259400</v>
      </c>
      <c r="D21" s="3" t="s">
        <v>47</v>
      </c>
      <c r="E21" s="6" t="s">
        <v>185</v>
      </c>
      <c r="F21" s="3" t="s">
        <v>117</v>
      </c>
      <c r="G21" s="4" t="s">
        <v>15</v>
      </c>
      <c r="H21" s="4" t="s">
        <v>27</v>
      </c>
      <c r="I21" s="4" t="s">
        <v>195</v>
      </c>
    </row>
    <row r="22" spans="1:9" x14ac:dyDescent="0.3">
      <c r="A22" s="4" t="s">
        <v>49</v>
      </c>
      <c r="B22" s="4" t="s">
        <v>13</v>
      </c>
      <c r="C22" s="5">
        <v>1459850</v>
      </c>
      <c r="D22" s="3" t="s">
        <v>50</v>
      </c>
      <c r="E22" s="6">
        <v>1239598</v>
      </c>
      <c r="F22" s="3" t="s">
        <v>197</v>
      </c>
      <c r="G22" s="4" t="s">
        <v>15</v>
      </c>
      <c r="H22" s="4" t="s">
        <v>16</v>
      </c>
      <c r="I22" s="4" t="s">
        <v>195</v>
      </c>
    </row>
    <row r="23" spans="1:9" x14ac:dyDescent="0.3">
      <c r="A23" s="4" t="s">
        <v>51</v>
      </c>
      <c r="B23" s="4" t="s">
        <v>13</v>
      </c>
      <c r="C23" s="5">
        <v>2643750</v>
      </c>
      <c r="D23" s="5" t="s">
        <v>118</v>
      </c>
      <c r="E23" s="6">
        <v>1222080</v>
      </c>
      <c r="F23" s="3" t="s">
        <v>121</v>
      </c>
      <c r="G23" s="4" t="s">
        <v>15</v>
      </c>
      <c r="H23" s="4" t="s">
        <v>16</v>
      </c>
      <c r="I23" s="4" t="s">
        <v>195</v>
      </c>
    </row>
    <row r="24" spans="1:9" x14ac:dyDescent="0.3">
      <c r="A24" s="4" t="s">
        <v>52</v>
      </c>
      <c r="B24" s="4" t="s">
        <v>13</v>
      </c>
      <c r="C24" s="5">
        <v>1514650</v>
      </c>
      <c r="D24" s="3" t="s">
        <v>188</v>
      </c>
      <c r="E24" s="6">
        <v>25461401</v>
      </c>
      <c r="F24" s="3"/>
      <c r="G24" s="4" t="s">
        <v>15</v>
      </c>
      <c r="H24" s="4" t="s">
        <v>16</v>
      </c>
      <c r="I24" s="4" t="s">
        <v>195</v>
      </c>
    </row>
    <row r="25" spans="1:9" x14ac:dyDescent="0.3">
      <c r="A25" s="4" t="s">
        <v>53</v>
      </c>
      <c r="B25" s="4" t="s">
        <v>9</v>
      </c>
      <c r="C25" s="5">
        <v>3963700</v>
      </c>
      <c r="D25" s="3" t="s">
        <v>183</v>
      </c>
      <c r="E25" s="6">
        <v>48978</v>
      </c>
      <c r="F25" s="3"/>
      <c r="G25" s="4" t="s">
        <v>11</v>
      </c>
      <c r="I25" s="4" t="s">
        <v>203</v>
      </c>
    </row>
    <row r="26" spans="1:9" x14ac:dyDescent="0.3">
      <c r="A26" s="4" t="s">
        <v>55</v>
      </c>
      <c r="B26" s="4" t="s">
        <v>13</v>
      </c>
      <c r="C26" s="5">
        <v>974200</v>
      </c>
      <c r="D26" s="3" t="s">
        <v>56</v>
      </c>
      <c r="E26" s="6"/>
      <c r="F26" s="3"/>
      <c r="G26" s="4" t="s">
        <v>15</v>
      </c>
      <c r="H26" s="4" t="s">
        <v>16</v>
      </c>
      <c r="I26" s="4" t="s">
        <v>195</v>
      </c>
    </row>
    <row r="27" spans="1:9" x14ac:dyDescent="0.3">
      <c r="A27" s="4" t="s">
        <v>57</v>
      </c>
      <c r="B27" s="4" t="s">
        <v>13</v>
      </c>
      <c r="C27" s="5">
        <v>888575</v>
      </c>
      <c r="D27" s="3" t="s">
        <v>58</v>
      </c>
      <c r="E27" s="6"/>
      <c r="F27" s="3"/>
      <c r="G27" s="4" t="s">
        <v>15</v>
      </c>
      <c r="H27" s="4" t="s">
        <v>16</v>
      </c>
      <c r="I27" s="4" t="s">
        <v>195</v>
      </c>
    </row>
    <row r="28" spans="1:9" x14ac:dyDescent="0.3">
      <c r="A28" s="4" t="s">
        <v>59</v>
      </c>
      <c r="D28" s="3"/>
      <c r="E28" s="6"/>
      <c r="F28" s="3"/>
      <c r="G28" s="7"/>
      <c r="H28" s="5"/>
    </row>
    <row r="29" spans="1:9" x14ac:dyDescent="0.3">
      <c r="A29" s="4" t="s">
        <v>60</v>
      </c>
      <c r="D29" s="3"/>
      <c r="E29" s="6"/>
      <c r="F29" s="3"/>
    </row>
    <row r="30" spans="1:9" x14ac:dyDescent="0.3">
      <c r="A30" s="4" t="s">
        <v>61</v>
      </c>
      <c r="D30" s="3"/>
      <c r="E30" s="6"/>
      <c r="F30" s="3"/>
    </row>
    <row r="31" spans="1:9" x14ac:dyDescent="0.3">
      <c r="A31" s="4" t="s">
        <v>63</v>
      </c>
      <c r="D31" s="3"/>
      <c r="E31" s="6"/>
      <c r="F31" s="3"/>
    </row>
    <row r="32" spans="1:9" x14ac:dyDescent="0.3">
      <c r="A32" s="4" t="s">
        <v>64</v>
      </c>
      <c r="B32" s="4" t="s">
        <v>13</v>
      </c>
      <c r="C32" s="5">
        <v>632350</v>
      </c>
      <c r="D32" s="3" t="s">
        <v>168</v>
      </c>
      <c r="E32" s="6">
        <v>23487272</v>
      </c>
      <c r="F32" s="3"/>
      <c r="G32" s="4" t="s">
        <v>15</v>
      </c>
      <c r="H32" s="4" t="s">
        <v>16</v>
      </c>
      <c r="I32" s="4" t="s">
        <v>195</v>
      </c>
    </row>
    <row r="33" spans="1:9" x14ac:dyDescent="0.3">
      <c r="A33" s="4" t="s">
        <v>65</v>
      </c>
      <c r="B33" s="4" t="s">
        <v>13</v>
      </c>
      <c r="C33" s="5">
        <v>1620700</v>
      </c>
      <c r="D33" s="7" t="s">
        <v>66</v>
      </c>
      <c r="E33" s="6">
        <v>23487273</v>
      </c>
      <c r="F33" s="3"/>
      <c r="G33" s="4" t="s">
        <v>15</v>
      </c>
      <c r="H33" s="4" t="s">
        <v>16</v>
      </c>
      <c r="I33" s="4" t="s">
        <v>195</v>
      </c>
    </row>
    <row r="34" spans="1:9" x14ac:dyDescent="0.3">
      <c r="A34" s="4" t="s">
        <v>67</v>
      </c>
      <c r="B34" s="4" t="s">
        <v>13</v>
      </c>
      <c r="C34" s="5">
        <v>1811000</v>
      </c>
      <c r="D34" s="3" t="s">
        <v>68</v>
      </c>
      <c r="E34" s="6">
        <v>23487268</v>
      </c>
      <c r="F34" s="3"/>
      <c r="G34" s="4" t="s">
        <v>15</v>
      </c>
      <c r="H34" s="4" t="s">
        <v>16</v>
      </c>
      <c r="I34" s="4" t="s">
        <v>195</v>
      </c>
    </row>
    <row r="35" spans="1:9" x14ac:dyDescent="0.3">
      <c r="A35" s="4" t="s">
        <v>69</v>
      </c>
      <c r="B35" s="4" t="s">
        <v>25</v>
      </c>
      <c r="C35" s="5">
        <v>1468300</v>
      </c>
      <c r="D35" s="3" t="s">
        <v>70</v>
      </c>
      <c r="E35" s="6"/>
      <c r="F35" s="3" t="s">
        <v>194</v>
      </c>
      <c r="G35" s="4" t="s">
        <v>15</v>
      </c>
      <c r="H35" s="4" t="s">
        <v>27</v>
      </c>
      <c r="I35" s="4" t="s">
        <v>195</v>
      </c>
    </row>
    <row r="36" spans="1:9" x14ac:dyDescent="0.3">
      <c r="A36" s="4" t="s">
        <v>71</v>
      </c>
      <c r="B36" s="4" t="s">
        <v>25</v>
      </c>
      <c r="C36" s="5">
        <v>5377000</v>
      </c>
      <c r="D36" s="7" t="s">
        <v>72</v>
      </c>
      <c r="E36" s="6">
        <v>962005</v>
      </c>
      <c r="F36" s="3"/>
      <c r="G36" s="17" t="s">
        <v>15</v>
      </c>
      <c r="H36" s="4" t="s">
        <v>27</v>
      </c>
    </row>
    <row r="37" spans="1:9" x14ac:dyDescent="0.3">
      <c r="A37" s="4" t="s">
        <v>73</v>
      </c>
      <c r="B37" s="4" t="s">
        <v>13</v>
      </c>
      <c r="C37" s="5">
        <v>3581200</v>
      </c>
      <c r="D37" s="3" t="s">
        <v>74</v>
      </c>
      <c r="E37" s="6">
        <v>22769175</v>
      </c>
      <c r="F37" s="3"/>
      <c r="G37" s="4" t="s">
        <v>15</v>
      </c>
      <c r="H37" s="4" t="s">
        <v>16</v>
      </c>
      <c r="I37" s="4" t="s">
        <v>195</v>
      </c>
    </row>
    <row r="38" spans="1:9" x14ac:dyDescent="0.3">
      <c r="A38" s="4" t="s">
        <v>75</v>
      </c>
      <c r="D38" s="3"/>
      <c r="E38" s="6"/>
      <c r="F38" s="3"/>
    </row>
    <row r="39" spans="1:9" x14ac:dyDescent="0.3">
      <c r="A39" s="4" t="s">
        <v>76</v>
      </c>
      <c r="D39" s="3"/>
      <c r="E39" s="6"/>
      <c r="F39" s="3"/>
    </row>
    <row r="40" spans="1:9" x14ac:dyDescent="0.3">
      <c r="A40" s="4" t="s">
        <v>78</v>
      </c>
      <c r="D40" s="3"/>
      <c r="E40" s="6"/>
      <c r="F40" s="3"/>
    </row>
    <row r="41" spans="1:9" x14ac:dyDescent="0.3">
      <c r="A41" s="4" t="s">
        <v>79</v>
      </c>
      <c r="B41" s="4" t="s">
        <v>9</v>
      </c>
      <c r="C41" s="5">
        <v>3001100</v>
      </c>
      <c r="D41" s="16" t="s">
        <v>201</v>
      </c>
      <c r="E41" s="6">
        <v>4656349</v>
      </c>
      <c r="F41" s="3"/>
      <c r="G41" s="4" t="s">
        <v>11</v>
      </c>
      <c r="I41" s="4" t="s">
        <v>195</v>
      </c>
    </row>
    <row r="42" spans="1:9" x14ac:dyDescent="0.3">
      <c r="A42" s="4" t="s">
        <v>80</v>
      </c>
      <c r="B42" s="4" t="s">
        <v>13</v>
      </c>
      <c r="C42" s="5">
        <v>2226400</v>
      </c>
      <c r="D42" s="7" t="s">
        <v>115</v>
      </c>
      <c r="E42" s="6">
        <v>23487270</v>
      </c>
      <c r="F42" s="3"/>
      <c r="G42" s="4" t="s">
        <v>15</v>
      </c>
      <c r="H42" s="4" t="s">
        <v>16</v>
      </c>
      <c r="I42" s="4" t="s">
        <v>195</v>
      </c>
    </row>
    <row r="43" spans="1:9" x14ac:dyDescent="0.3">
      <c r="A43" s="4" t="s">
        <v>81</v>
      </c>
      <c r="B43" s="4" t="s">
        <v>9</v>
      </c>
      <c r="C43" s="5">
        <v>717200</v>
      </c>
      <c r="D43" s="3" t="s">
        <v>82</v>
      </c>
      <c r="E43" s="6">
        <v>4137214</v>
      </c>
      <c r="F43" s="3"/>
      <c r="G43" s="4" t="s">
        <v>11</v>
      </c>
      <c r="I43" s="4" t="s">
        <v>195</v>
      </c>
    </row>
    <row r="44" spans="1:9" x14ac:dyDescent="0.3">
      <c r="A44" s="4" t="s">
        <v>83</v>
      </c>
      <c r="B44" s="4" t="s">
        <v>13</v>
      </c>
      <c r="C44" s="5">
        <v>3787750</v>
      </c>
      <c r="D44" s="16" t="s">
        <v>84</v>
      </c>
      <c r="E44" s="6">
        <v>1248836</v>
      </c>
      <c r="F44" s="16" t="s">
        <v>206</v>
      </c>
      <c r="G44" s="4" t="s">
        <v>15</v>
      </c>
      <c r="H44" s="4" t="s">
        <v>16</v>
      </c>
    </row>
    <row r="45" spans="1:9" x14ac:dyDescent="0.3">
      <c r="A45" s="4" t="s">
        <v>85</v>
      </c>
      <c r="B45" s="4" t="s">
        <v>13</v>
      </c>
      <c r="C45" s="5">
        <v>4324100</v>
      </c>
      <c r="D45" s="3" t="s">
        <v>86</v>
      </c>
      <c r="E45" s="6">
        <v>1253335</v>
      </c>
      <c r="F45" s="3"/>
      <c r="G45" s="4" t="s">
        <v>15</v>
      </c>
      <c r="H45" s="4" t="s">
        <v>16</v>
      </c>
    </row>
    <row r="46" spans="1:9" x14ac:dyDescent="0.3">
      <c r="A46" s="4" t="s">
        <v>87</v>
      </c>
      <c r="B46" s="4" t="s">
        <v>25</v>
      </c>
      <c r="C46" s="5">
        <v>643250</v>
      </c>
      <c r="D46" s="3" t="s">
        <v>88</v>
      </c>
      <c r="E46" s="6" t="s">
        <v>192</v>
      </c>
      <c r="F46" s="3" t="s">
        <v>193</v>
      </c>
      <c r="G46" s="4" t="s">
        <v>15</v>
      </c>
      <c r="H46" s="4" t="s">
        <v>27</v>
      </c>
      <c r="I46" s="4" t="s">
        <v>195</v>
      </c>
    </row>
    <row r="47" spans="1:9" x14ac:dyDescent="0.3">
      <c r="A47" s="4" t="s">
        <v>89</v>
      </c>
      <c r="B47" s="4" t="s">
        <v>13</v>
      </c>
      <c r="C47" s="5">
        <v>2341650</v>
      </c>
      <c r="D47" s="3" t="s">
        <v>90</v>
      </c>
      <c r="E47" s="6"/>
      <c r="F47" s="3"/>
      <c r="G47" s="4" t="s">
        <v>15</v>
      </c>
      <c r="H47" s="4" t="s">
        <v>16</v>
      </c>
      <c r="I47" s="4" t="s">
        <v>195</v>
      </c>
    </row>
    <row r="48" spans="1:9" x14ac:dyDescent="0.3">
      <c r="A48" s="4" t="s">
        <v>91</v>
      </c>
      <c r="B48" s="4" t="s">
        <v>9</v>
      </c>
      <c r="C48" s="5">
        <v>980000</v>
      </c>
      <c r="D48" s="7" t="s">
        <v>92</v>
      </c>
      <c r="E48" s="6">
        <v>676712</v>
      </c>
      <c r="F48" s="3"/>
      <c r="G48" s="4" t="s">
        <v>11</v>
      </c>
      <c r="I48" s="4" t="s">
        <v>195</v>
      </c>
    </row>
    <row r="49" spans="1:9" x14ac:dyDescent="0.3">
      <c r="A49" s="4" t="s">
        <v>93</v>
      </c>
      <c r="B49" s="4" t="s">
        <v>13</v>
      </c>
      <c r="C49" s="5">
        <v>1461800</v>
      </c>
      <c r="D49" s="3" t="s">
        <v>94</v>
      </c>
      <c r="E49" s="6">
        <v>1223144</v>
      </c>
      <c r="F49" s="3" t="s">
        <v>187</v>
      </c>
      <c r="G49" s="4" t="s">
        <v>15</v>
      </c>
      <c r="H49" s="4" t="s">
        <v>16</v>
      </c>
      <c r="I49" s="4" t="s">
        <v>195</v>
      </c>
    </row>
    <row r="50" spans="1:9" x14ac:dyDescent="0.3">
      <c r="A50" s="4" t="s">
        <v>95</v>
      </c>
      <c r="D50" s="7"/>
      <c r="E50" s="6"/>
      <c r="F50" s="3"/>
    </row>
    <row r="51" spans="1:9" x14ac:dyDescent="0.3">
      <c r="A51" s="4" t="s">
        <v>96</v>
      </c>
      <c r="B51" s="4" t="s">
        <v>13</v>
      </c>
      <c r="C51" s="5">
        <v>944500</v>
      </c>
      <c r="D51" s="7" t="s">
        <v>97</v>
      </c>
      <c r="E51" s="6">
        <v>1219325</v>
      </c>
      <c r="F51" s="3" t="s">
        <v>191</v>
      </c>
      <c r="G51" s="4" t="s">
        <v>15</v>
      </c>
      <c r="H51" s="4" t="s">
        <v>16</v>
      </c>
      <c r="I51" s="4" t="s">
        <v>195</v>
      </c>
    </row>
    <row r="52" spans="1:9" x14ac:dyDescent="0.3">
      <c r="A52" s="4" t="s">
        <v>98</v>
      </c>
      <c r="B52" s="4" t="s">
        <v>9</v>
      </c>
      <c r="C52" s="5">
        <v>1281100</v>
      </c>
      <c r="D52" s="3" t="s">
        <v>99</v>
      </c>
      <c r="E52" s="6">
        <v>2126238</v>
      </c>
      <c r="F52" s="3"/>
      <c r="G52" s="4" t="s">
        <v>11</v>
      </c>
      <c r="I52" s="4" t="s">
        <v>195</v>
      </c>
    </row>
    <row r="53" spans="1:9" x14ac:dyDescent="0.3">
      <c r="A53" s="4" t="s">
        <v>100</v>
      </c>
      <c r="B53" s="4" t="s">
        <v>25</v>
      </c>
      <c r="C53" s="5">
        <v>935200</v>
      </c>
      <c r="D53" s="8" t="s">
        <v>101</v>
      </c>
      <c r="E53" s="9"/>
      <c r="F53" s="7" t="s">
        <v>186</v>
      </c>
      <c r="G53" s="7" t="s">
        <v>15</v>
      </c>
      <c r="H53" s="4" t="s">
        <v>27</v>
      </c>
      <c r="I53" s="4" t="s">
        <v>195</v>
      </c>
    </row>
    <row r="54" spans="1:9" x14ac:dyDescent="0.3">
      <c r="A54" s="4" t="s">
        <v>102</v>
      </c>
      <c r="B54" s="4" t="s">
        <v>9</v>
      </c>
      <c r="C54" s="5">
        <v>650500</v>
      </c>
      <c r="D54" s="3" t="s">
        <v>189</v>
      </c>
      <c r="E54" s="6">
        <v>1223600</v>
      </c>
      <c r="F54" s="3"/>
      <c r="G54" s="4" t="s">
        <v>11</v>
      </c>
      <c r="I54" s="4" t="s">
        <v>195</v>
      </c>
    </row>
    <row r="55" spans="1:9" x14ac:dyDescent="0.3">
      <c r="A55" s="4" t="s">
        <v>104</v>
      </c>
      <c r="B55" s="4" t="s">
        <v>9</v>
      </c>
      <c r="C55" s="5">
        <v>2383850</v>
      </c>
      <c r="D55" s="7" t="s">
        <v>105</v>
      </c>
      <c r="E55" s="6">
        <v>97291</v>
      </c>
      <c r="F55" s="3"/>
      <c r="G55" s="4" t="s">
        <v>11</v>
      </c>
      <c r="I55" s="4" t="s">
        <v>195</v>
      </c>
    </row>
    <row r="56" spans="1:9" x14ac:dyDescent="0.3">
      <c r="A56" s="4" t="s">
        <v>106</v>
      </c>
      <c r="B56" s="4" t="s">
        <v>13</v>
      </c>
      <c r="C56" s="5">
        <v>2299000</v>
      </c>
      <c r="D56" s="3" t="s">
        <v>107</v>
      </c>
      <c r="E56" s="6">
        <v>1222866</v>
      </c>
      <c r="F56" s="3"/>
      <c r="G56" s="4" t="s">
        <v>15</v>
      </c>
      <c r="H56" s="4" t="s">
        <v>16</v>
      </c>
      <c r="I56" s="4" t="s">
        <v>195</v>
      </c>
    </row>
    <row r="57" spans="1:9" x14ac:dyDescent="0.3">
      <c r="A57" s="4" t="s">
        <v>108</v>
      </c>
      <c r="B57" s="4" t="s">
        <v>13</v>
      </c>
      <c r="C57" s="5">
        <v>2759670</v>
      </c>
      <c r="D57" s="7" t="s">
        <v>135</v>
      </c>
      <c r="E57" s="6">
        <v>1227745</v>
      </c>
      <c r="F57" s="3"/>
      <c r="G57" s="4" t="s">
        <v>15</v>
      </c>
      <c r="H57" s="4" t="s">
        <v>16</v>
      </c>
      <c r="I57" s="4" t="s">
        <v>195</v>
      </c>
    </row>
    <row r="58" spans="1:9" x14ac:dyDescent="0.3">
      <c r="A58" s="4" t="s">
        <v>109</v>
      </c>
      <c r="B58" s="4" t="s">
        <v>13</v>
      </c>
      <c r="C58" s="5">
        <v>1448500</v>
      </c>
      <c r="D58" s="3" t="s">
        <v>110</v>
      </c>
      <c r="E58" s="6"/>
      <c r="F58" s="3"/>
      <c r="G58" s="4" t="s">
        <v>15</v>
      </c>
      <c r="H58" s="4" t="s">
        <v>16</v>
      </c>
      <c r="I58" s="4" t="s">
        <v>195</v>
      </c>
    </row>
    <row r="59" spans="1:9" x14ac:dyDescent="0.3">
      <c r="A59" s="4" t="s">
        <v>111</v>
      </c>
      <c r="B59" s="4" t="s">
        <v>13</v>
      </c>
      <c r="C59" s="5">
        <v>1881400</v>
      </c>
      <c r="D59" s="16" t="s">
        <v>82</v>
      </c>
      <c r="E59" s="15"/>
      <c r="F59" s="16" t="s">
        <v>134</v>
      </c>
      <c r="G59" s="4" t="s">
        <v>15</v>
      </c>
      <c r="H59" s="4" t="s">
        <v>16</v>
      </c>
      <c r="I59" s="4" t="s">
        <v>203</v>
      </c>
    </row>
    <row r="60" spans="1:9" x14ac:dyDescent="0.3">
      <c r="A60" s="4" t="s">
        <v>113</v>
      </c>
      <c r="B60" s="4" t="s">
        <v>25</v>
      </c>
      <c r="C60" s="5">
        <v>4292450</v>
      </c>
      <c r="D60" s="3" t="s">
        <v>92</v>
      </c>
      <c r="E60" s="15" t="s">
        <v>198</v>
      </c>
      <c r="F60" s="16" t="s">
        <v>199</v>
      </c>
      <c r="G60" s="4" t="s">
        <v>15</v>
      </c>
      <c r="H60" s="4" t="s">
        <v>27</v>
      </c>
      <c r="I60" s="4" t="s">
        <v>195</v>
      </c>
    </row>
    <row r="61" spans="1:9" s="10" customFormat="1" ht="15" thickBot="1" x14ac:dyDescent="0.35">
      <c r="A61" s="10" t="s">
        <v>114</v>
      </c>
      <c r="B61" s="4"/>
      <c r="C61" s="11">
        <f>SUM(C2:C60)</f>
        <v>91250050</v>
      </c>
      <c r="D61" s="4"/>
    </row>
    <row r="62" spans="1:9" ht="15" thickTop="1" x14ac:dyDescent="0.3"/>
    <row r="67" spans="4:4" x14ac:dyDescent="0.3">
      <c r="D67" s="12"/>
    </row>
  </sheetData>
  <conditionalFormatting sqref="F14:F15">
    <cfRule type="containsText" dxfId="905" priority="71" operator="containsText" text="No">
      <formula>NOT(ISERROR(SEARCH("No",F14)))</formula>
    </cfRule>
    <cfRule type="containsText" dxfId="904" priority="72" operator="containsText" text="Yes">
      <formula>NOT(ISERROR(SEARCH("Yes",F14)))</formula>
    </cfRule>
  </conditionalFormatting>
  <conditionalFormatting sqref="G1">
    <cfRule type="containsText" dxfId="903" priority="87" operator="containsText" text="No">
      <formula>NOT(ISERROR(SEARCH("No",G1)))</formula>
    </cfRule>
    <cfRule type="containsText" dxfId="902" priority="88" operator="containsText" text="Yes">
      <formula>NOT(ISERROR(SEARCH("Yes",G1)))</formula>
    </cfRule>
  </conditionalFormatting>
  <conditionalFormatting sqref="G16 G19">
    <cfRule type="containsText" dxfId="901" priority="77" operator="containsText" text="No">
      <formula>NOT(ISERROR(SEARCH("No",G16)))</formula>
    </cfRule>
    <cfRule type="containsText" dxfId="900" priority="78" operator="containsText" text="Yes">
      <formula>NOT(ISERROR(SEARCH("Yes",G16)))</formula>
    </cfRule>
  </conditionalFormatting>
  <conditionalFormatting sqref="G29">
    <cfRule type="containsText" dxfId="899" priority="75" operator="containsText" text="No">
      <formula>NOT(ISERROR(SEARCH("No",G29)))</formula>
    </cfRule>
    <cfRule type="containsText" dxfId="898" priority="76" operator="containsText" text="Yes">
      <formula>NOT(ISERROR(SEARCH("Yes",G29)))</formula>
    </cfRule>
  </conditionalFormatting>
  <conditionalFormatting sqref="G40">
    <cfRule type="containsText" dxfId="897" priority="91" operator="containsText" text="No">
      <formula>NOT(ISERROR(SEARCH("No",G40)))</formula>
    </cfRule>
    <cfRule type="containsText" dxfId="896" priority="92" operator="containsText" text="Yes">
      <formula>NOT(ISERROR(SEARCH("Yes",G40)))</formula>
    </cfRule>
  </conditionalFormatting>
  <conditionalFormatting sqref="G43">
    <cfRule type="containsText" dxfId="895" priority="85" operator="containsText" text="No">
      <formula>NOT(ISERROR(SEARCH("No",G43)))</formula>
    </cfRule>
    <cfRule type="containsText" dxfId="894" priority="86" operator="containsText" text="Yes">
      <formula>NOT(ISERROR(SEARCH("Yes",G43)))</formula>
    </cfRule>
  </conditionalFormatting>
  <conditionalFormatting sqref="G52">
    <cfRule type="containsText" dxfId="893" priority="83" operator="containsText" text="No">
      <formula>NOT(ISERROR(SEARCH("No",G52)))</formula>
    </cfRule>
    <cfRule type="containsText" dxfId="892" priority="84" operator="containsText" text="Yes">
      <formula>NOT(ISERROR(SEARCH("Yes",G52)))</formula>
    </cfRule>
  </conditionalFormatting>
  <conditionalFormatting sqref="G61:G1048576">
    <cfRule type="containsText" dxfId="891" priority="89" operator="containsText" text="No">
      <formula>NOT(ISERROR(SEARCH("No",G61)))</formula>
    </cfRule>
    <cfRule type="containsText" dxfId="890" priority="90" operator="containsText" text="Yes">
      <formula>NOT(ISERROR(SEARCH("Yes",G61)))</formula>
    </cfRule>
  </conditionalFormatting>
  <conditionalFormatting sqref="G2:H7">
    <cfRule type="containsText" dxfId="889" priority="7" operator="containsText" text="No">
      <formula>NOT(ISERROR(SEARCH("No",G2)))</formula>
    </cfRule>
    <cfRule type="containsText" dxfId="888" priority="8" operator="containsText" text="Yes">
      <formula>NOT(ISERROR(SEARCH("Yes",G2)))</formula>
    </cfRule>
  </conditionalFormatting>
  <conditionalFormatting sqref="G20:H28">
    <cfRule type="containsText" dxfId="887" priority="11" operator="containsText" text="No">
      <formula>NOT(ISERROR(SEARCH("No",G20)))</formula>
    </cfRule>
    <cfRule type="containsText" dxfId="886" priority="12" operator="containsText" text="Yes">
      <formula>NOT(ISERROR(SEARCH("Yes",G20)))</formula>
    </cfRule>
  </conditionalFormatting>
  <conditionalFormatting sqref="G30:H39">
    <cfRule type="containsText" dxfId="885" priority="21" operator="containsText" text="No">
      <formula>NOT(ISERROR(SEARCH("No",G30)))</formula>
    </cfRule>
    <cfRule type="containsText" dxfId="884" priority="22" operator="containsText" text="Yes">
      <formula>NOT(ISERROR(SEARCH("Yes",G30)))</formula>
    </cfRule>
  </conditionalFormatting>
  <conditionalFormatting sqref="G41:H42">
    <cfRule type="containsText" dxfId="883" priority="29" operator="containsText" text="No">
      <formula>NOT(ISERROR(SEARCH("No",G41)))</formula>
    </cfRule>
    <cfRule type="containsText" dxfId="882" priority="30" operator="containsText" text="Yes">
      <formula>NOT(ISERROR(SEARCH("Yes",G41)))</formula>
    </cfRule>
  </conditionalFormatting>
  <conditionalFormatting sqref="G44:H51">
    <cfRule type="containsText" dxfId="881" priority="1" operator="containsText" text="No">
      <formula>NOT(ISERROR(SEARCH("No",G44)))</formula>
    </cfRule>
    <cfRule type="containsText" dxfId="880" priority="2" operator="containsText" text="Yes">
      <formula>NOT(ISERROR(SEARCH("Yes",G44)))</formula>
    </cfRule>
  </conditionalFormatting>
  <conditionalFormatting sqref="G53:H60">
    <cfRule type="containsText" dxfId="879" priority="61" operator="containsText" text="No">
      <formula>NOT(ISERROR(SEARCH("No",G53)))</formula>
    </cfRule>
    <cfRule type="containsText" dxfId="878" priority="62" operator="containsText" text="Yes">
      <formula>NOT(ISERROR(SEARCH("Yes",G53)))</formula>
    </cfRule>
  </conditionalFormatting>
  <conditionalFormatting sqref="G8:I15">
    <cfRule type="containsText" dxfId="877" priority="5" operator="containsText" text="No">
      <formula>NOT(ISERROR(SEARCH("No",G8)))</formula>
    </cfRule>
    <cfRule type="containsText" dxfId="876" priority="6" operator="containsText" text="Yes">
      <formula>NOT(ISERROR(SEARCH("Yes",G8)))</formula>
    </cfRule>
  </conditionalFormatting>
  <conditionalFormatting sqref="G17:I18">
    <cfRule type="containsText" dxfId="875" priority="19" operator="containsText" text="No">
      <formula>NOT(ISERROR(SEARCH("No",G17)))</formula>
    </cfRule>
    <cfRule type="containsText" dxfId="874" priority="20" operator="containsText" text="Yes">
      <formula>NOT(ISERROR(SEARCH("Yes",G17)))</formula>
    </cfRule>
  </conditionalFormatting>
  <conditionalFormatting sqref="H28">
    <cfRule type="containsText" dxfId="873" priority="79" operator="containsText" text="No">
      <formula>NOT(ISERROR(SEARCH("No",H28)))</formula>
    </cfRule>
    <cfRule type="containsText" dxfId="872" priority="80" operator="containsText" text="Yes">
      <formula>NOT(ISERROR(SEARCH("Yes",H28)))</formula>
    </cfRule>
  </conditionalFormatting>
  <conditionalFormatting sqref="I20">
    <cfRule type="containsText" dxfId="871" priority="81" operator="containsText" text="No">
      <formula>NOT(ISERROR(SEARCH("No",I20)))</formula>
    </cfRule>
    <cfRule type="containsText" dxfId="870" priority="82" operator="containsText" text="Yes">
      <formula>NOT(ISERROR(SEARCH("Yes",I20)))</formula>
    </cfRule>
  </conditionalFormatting>
  <conditionalFormatting sqref="I20:I27 I30">
    <cfRule type="containsText" dxfId="869" priority="73" operator="containsText" text="No">
      <formula>NOT(ISERROR(SEARCH("No",I20)))</formula>
    </cfRule>
    <cfRule type="containsText" dxfId="868" priority="74" operator="containsText" text="Yes">
      <formula>NOT(ISERROR(SEARCH("Yes",I20)))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7"/>
  <sheetViews>
    <sheetView workbookViewId="0">
      <selection activeCell="C23" sqref="C23"/>
    </sheetView>
  </sheetViews>
  <sheetFormatPr defaultColWidth="10" defaultRowHeight="14.4" x14ac:dyDescent="0.3"/>
  <cols>
    <col min="1" max="1" width="17.5546875" style="4" bestFit="1" customWidth="1"/>
    <col min="2" max="2" width="12.33203125" style="4" bestFit="1" customWidth="1"/>
    <col min="3" max="3" width="18.5546875" style="5" bestFit="1" customWidth="1"/>
    <col min="4" max="4" width="23.88671875" style="4" bestFit="1" customWidth="1"/>
    <col min="5" max="5" width="16.6640625" style="4" bestFit="1" customWidth="1"/>
    <col min="6" max="6" width="14.6640625" style="4" bestFit="1" customWidth="1"/>
    <col min="7" max="7" width="14.6640625" style="4" customWidth="1"/>
    <col min="8" max="8" width="12.109375" style="4" bestFit="1" customWidth="1"/>
    <col min="9" max="9" width="10.33203125" style="4" bestFit="1" customWidth="1"/>
    <col min="10" max="16384" width="10" style="4"/>
  </cols>
  <sheetData>
    <row r="1" spans="1:9" s="1" customForma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s="1" customFormat="1" x14ac:dyDescent="0.3">
      <c r="A2" s="3" t="s">
        <v>8</v>
      </c>
      <c r="B2" s="4"/>
      <c r="C2" s="5"/>
      <c r="D2" s="3"/>
      <c r="E2" s="6"/>
      <c r="F2" s="3"/>
      <c r="G2" s="4"/>
      <c r="H2" s="4"/>
      <c r="I2" s="16"/>
    </row>
    <row r="3" spans="1:9" x14ac:dyDescent="0.3">
      <c r="A3" s="4" t="s">
        <v>12</v>
      </c>
      <c r="D3" s="3"/>
      <c r="E3" s="6"/>
      <c r="F3" s="16"/>
    </row>
    <row r="4" spans="1:9" x14ac:dyDescent="0.3">
      <c r="A4" s="4" t="s">
        <v>17</v>
      </c>
      <c r="D4" s="16"/>
      <c r="E4" s="6"/>
      <c r="F4" s="3"/>
    </row>
    <row r="5" spans="1:9" x14ac:dyDescent="0.3">
      <c r="A5" s="4" t="s">
        <v>18</v>
      </c>
      <c r="D5" s="3"/>
      <c r="E5" s="6"/>
      <c r="F5" s="3"/>
    </row>
    <row r="6" spans="1:9" x14ac:dyDescent="0.3">
      <c r="A6" s="4" t="s">
        <v>20</v>
      </c>
      <c r="D6" s="3"/>
      <c r="E6" s="6"/>
      <c r="F6" s="3"/>
    </row>
    <row r="7" spans="1:9" x14ac:dyDescent="0.3">
      <c r="A7" s="4" t="s">
        <v>22</v>
      </c>
      <c r="D7" s="3"/>
      <c r="E7" s="6"/>
      <c r="F7" s="3"/>
    </row>
    <row r="8" spans="1:9" x14ac:dyDescent="0.3">
      <c r="A8" s="4" t="s">
        <v>24</v>
      </c>
      <c r="D8" s="16"/>
      <c r="E8" s="6"/>
      <c r="F8" s="3"/>
    </row>
    <row r="9" spans="1:9" x14ac:dyDescent="0.3">
      <c r="A9" s="4" t="s">
        <v>28</v>
      </c>
      <c r="D9" s="3"/>
      <c r="E9" s="6"/>
      <c r="F9" s="3"/>
    </row>
    <row r="10" spans="1:9" x14ac:dyDescent="0.3">
      <c r="A10" s="4" t="s">
        <v>30</v>
      </c>
      <c r="D10" s="3"/>
      <c r="E10" s="6"/>
      <c r="F10" s="16"/>
    </row>
    <row r="11" spans="1:9" x14ac:dyDescent="0.3">
      <c r="A11" s="4" t="s">
        <v>31</v>
      </c>
      <c r="D11" s="3"/>
      <c r="E11" s="6"/>
      <c r="F11" s="3"/>
    </row>
    <row r="12" spans="1:9" x14ac:dyDescent="0.3">
      <c r="A12" s="4" t="s">
        <v>32</v>
      </c>
      <c r="D12" s="16"/>
      <c r="E12" s="6"/>
      <c r="F12" s="3"/>
    </row>
    <row r="13" spans="1:9" x14ac:dyDescent="0.3">
      <c r="A13" s="4" t="s">
        <v>33</v>
      </c>
      <c r="D13" s="3"/>
      <c r="E13" s="6"/>
      <c r="F13" s="3"/>
    </row>
    <row r="14" spans="1:9" x14ac:dyDescent="0.3">
      <c r="A14" s="4" t="s">
        <v>35</v>
      </c>
      <c r="D14" s="3"/>
      <c r="E14" s="6"/>
    </row>
    <row r="15" spans="1:9" x14ac:dyDescent="0.3">
      <c r="A15" s="4" t="s">
        <v>37</v>
      </c>
      <c r="D15" s="3"/>
      <c r="E15" s="6"/>
    </row>
    <row r="16" spans="1:9" x14ac:dyDescent="0.3">
      <c r="A16" s="4" t="s">
        <v>39</v>
      </c>
      <c r="D16" s="3"/>
      <c r="E16" s="6"/>
      <c r="F16" s="3"/>
    </row>
    <row r="17" spans="1:9" x14ac:dyDescent="0.3">
      <c r="A17" s="4" t="s">
        <v>40</v>
      </c>
      <c r="D17" s="3"/>
      <c r="E17" s="6"/>
      <c r="F17" s="3"/>
    </row>
    <row r="18" spans="1:9" x14ac:dyDescent="0.3">
      <c r="A18" s="4" t="s">
        <v>42</v>
      </c>
      <c r="D18" s="3"/>
      <c r="E18" s="6"/>
      <c r="F18" s="3"/>
    </row>
    <row r="19" spans="1:9" x14ac:dyDescent="0.3">
      <c r="A19" s="4" t="s">
        <v>43</v>
      </c>
      <c r="D19" s="3"/>
      <c r="E19" s="6"/>
      <c r="F19" s="3"/>
    </row>
    <row r="20" spans="1:9" x14ac:dyDescent="0.3">
      <c r="A20" s="4" t="s">
        <v>44</v>
      </c>
      <c r="D20" s="3"/>
      <c r="E20" s="15"/>
      <c r="F20" s="16"/>
      <c r="I20" s="18"/>
    </row>
    <row r="21" spans="1:9" x14ac:dyDescent="0.3">
      <c r="A21" s="4" t="s">
        <v>46</v>
      </c>
      <c r="D21" s="3"/>
      <c r="E21" s="6"/>
      <c r="F21" s="3"/>
    </row>
    <row r="22" spans="1:9" x14ac:dyDescent="0.3">
      <c r="A22" s="4" t="s">
        <v>49</v>
      </c>
      <c r="D22" s="3"/>
      <c r="E22" s="6"/>
      <c r="F22" s="3"/>
    </row>
    <row r="23" spans="1:9" x14ac:dyDescent="0.3">
      <c r="A23" s="4" t="s">
        <v>51</v>
      </c>
      <c r="B23" s="4" t="s">
        <v>13</v>
      </c>
      <c r="C23" s="5">
        <v>2000000</v>
      </c>
      <c r="D23" s="5" t="s">
        <v>207</v>
      </c>
      <c r="E23" s="6"/>
      <c r="F23" s="3" t="s">
        <v>208</v>
      </c>
    </row>
    <row r="24" spans="1:9" x14ac:dyDescent="0.3">
      <c r="A24" s="4" t="s">
        <v>52</v>
      </c>
      <c r="D24" s="3"/>
      <c r="E24" s="6"/>
      <c r="F24" s="3"/>
    </row>
    <row r="25" spans="1:9" x14ac:dyDescent="0.3">
      <c r="A25" s="4" t="s">
        <v>53</v>
      </c>
      <c r="D25" s="3"/>
      <c r="E25" s="6"/>
      <c r="F25" s="3"/>
    </row>
    <row r="26" spans="1:9" x14ac:dyDescent="0.3">
      <c r="A26" s="4" t="s">
        <v>55</v>
      </c>
      <c r="D26" s="3"/>
      <c r="E26" s="6"/>
      <c r="F26" s="3"/>
    </row>
    <row r="27" spans="1:9" x14ac:dyDescent="0.3">
      <c r="A27" s="4" t="s">
        <v>57</v>
      </c>
      <c r="D27" s="3"/>
      <c r="E27" s="6"/>
      <c r="F27" s="3"/>
    </row>
    <row r="28" spans="1:9" x14ac:dyDescent="0.3">
      <c r="A28" s="4" t="s">
        <v>59</v>
      </c>
      <c r="D28" s="3"/>
      <c r="E28" s="6"/>
      <c r="F28" s="3"/>
      <c r="G28" s="7"/>
      <c r="H28" s="5"/>
    </row>
    <row r="29" spans="1:9" x14ac:dyDescent="0.3">
      <c r="A29" s="4" t="s">
        <v>60</v>
      </c>
      <c r="D29" s="3"/>
      <c r="E29" s="6"/>
      <c r="F29" s="3"/>
    </row>
    <row r="30" spans="1:9" x14ac:dyDescent="0.3">
      <c r="A30" s="4" t="s">
        <v>61</v>
      </c>
      <c r="D30" s="3"/>
      <c r="E30" s="6"/>
      <c r="F30" s="3"/>
    </row>
    <row r="31" spans="1:9" x14ac:dyDescent="0.3">
      <c r="A31" s="4" t="s">
        <v>63</v>
      </c>
      <c r="D31" s="3"/>
      <c r="E31" s="6"/>
      <c r="F31" s="3"/>
    </row>
    <row r="32" spans="1:9" x14ac:dyDescent="0.3">
      <c r="A32" s="4" t="s">
        <v>64</v>
      </c>
      <c r="D32" s="3"/>
      <c r="E32" s="6"/>
      <c r="F32" s="3"/>
    </row>
    <row r="33" spans="1:7" x14ac:dyDescent="0.3">
      <c r="A33" s="4" t="s">
        <v>65</v>
      </c>
      <c r="D33" s="7"/>
      <c r="E33" s="6"/>
      <c r="F33" s="3"/>
    </row>
    <row r="34" spans="1:7" x14ac:dyDescent="0.3">
      <c r="A34" s="4" t="s">
        <v>67</v>
      </c>
      <c r="D34" s="3"/>
      <c r="E34" s="6"/>
      <c r="F34" s="3"/>
    </row>
    <row r="35" spans="1:7" x14ac:dyDescent="0.3">
      <c r="A35" s="4" t="s">
        <v>69</v>
      </c>
      <c r="D35" s="3"/>
      <c r="E35" s="6"/>
      <c r="F35" s="3"/>
    </row>
    <row r="36" spans="1:7" x14ac:dyDescent="0.3">
      <c r="A36" s="4" t="s">
        <v>71</v>
      </c>
      <c r="D36" s="7"/>
      <c r="E36" s="6"/>
      <c r="F36" s="3"/>
      <c r="G36" s="17"/>
    </row>
    <row r="37" spans="1:7" x14ac:dyDescent="0.3">
      <c r="A37" s="4" t="s">
        <v>73</v>
      </c>
      <c r="D37" s="3"/>
      <c r="E37" s="6"/>
      <c r="F37" s="3"/>
    </row>
    <row r="38" spans="1:7" x14ac:dyDescent="0.3">
      <c r="A38" s="4" t="s">
        <v>75</v>
      </c>
      <c r="D38" s="3"/>
      <c r="E38" s="6"/>
      <c r="F38" s="3"/>
    </row>
    <row r="39" spans="1:7" x14ac:dyDescent="0.3">
      <c r="A39" s="4" t="s">
        <v>76</v>
      </c>
      <c r="D39" s="3"/>
      <c r="E39" s="6"/>
      <c r="F39" s="3"/>
    </row>
    <row r="40" spans="1:7" x14ac:dyDescent="0.3">
      <c r="A40" s="4" t="s">
        <v>78</v>
      </c>
      <c r="D40" s="3"/>
      <c r="E40" s="6"/>
      <c r="F40" s="3"/>
    </row>
    <row r="41" spans="1:7" x14ac:dyDescent="0.3">
      <c r="A41" s="4" t="s">
        <v>79</v>
      </c>
      <c r="D41" s="16"/>
      <c r="E41" s="6"/>
      <c r="F41" s="3"/>
    </row>
    <row r="42" spans="1:7" x14ac:dyDescent="0.3">
      <c r="A42" s="4" t="s">
        <v>80</v>
      </c>
      <c r="D42" s="7"/>
      <c r="E42" s="6"/>
      <c r="F42" s="3"/>
    </row>
    <row r="43" spans="1:7" x14ac:dyDescent="0.3">
      <c r="A43" s="4" t="s">
        <v>81</v>
      </c>
      <c r="D43" s="3"/>
      <c r="E43" s="6"/>
      <c r="F43" s="3"/>
    </row>
    <row r="44" spans="1:7" x14ac:dyDescent="0.3">
      <c r="A44" s="4" t="s">
        <v>83</v>
      </c>
      <c r="D44" s="16"/>
      <c r="E44" s="6"/>
      <c r="F44" s="16"/>
    </row>
    <row r="45" spans="1:7" x14ac:dyDescent="0.3">
      <c r="A45" s="4" t="s">
        <v>85</v>
      </c>
      <c r="D45" s="3"/>
      <c r="E45" s="6"/>
      <c r="F45" s="3"/>
    </row>
    <row r="46" spans="1:7" x14ac:dyDescent="0.3">
      <c r="A46" s="4" t="s">
        <v>87</v>
      </c>
      <c r="D46" s="3"/>
      <c r="E46" s="6"/>
      <c r="F46" s="3"/>
    </row>
    <row r="47" spans="1:7" x14ac:dyDescent="0.3">
      <c r="A47" s="4" t="s">
        <v>89</v>
      </c>
      <c r="D47" s="3"/>
      <c r="E47" s="6"/>
      <c r="F47" s="3"/>
    </row>
    <row r="48" spans="1:7" x14ac:dyDescent="0.3">
      <c r="A48" s="4" t="s">
        <v>91</v>
      </c>
      <c r="D48" s="7"/>
      <c r="E48" s="6"/>
      <c r="F48" s="3"/>
    </row>
    <row r="49" spans="1:7" x14ac:dyDescent="0.3">
      <c r="A49" s="4" t="s">
        <v>93</v>
      </c>
      <c r="D49" s="3"/>
      <c r="E49" s="6"/>
      <c r="F49" s="3"/>
    </row>
    <row r="50" spans="1:7" x14ac:dyDescent="0.3">
      <c r="A50" s="4" t="s">
        <v>95</v>
      </c>
      <c r="D50" s="7"/>
      <c r="E50" s="6"/>
      <c r="F50" s="3"/>
    </row>
    <row r="51" spans="1:7" x14ac:dyDescent="0.3">
      <c r="A51" s="4" t="s">
        <v>96</v>
      </c>
      <c r="D51" s="7"/>
      <c r="E51" s="6"/>
      <c r="F51" s="3"/>
    </row>
    <row r="52" spans="1:7" x14ac:dyDescent="0.3">
      <c r="A52" s="4" t="s">
        <v>98</v>
      </c>
      <c r="D52" s="3"/>
      <c r="E52" s="6"/>
      <c r="F52" s="3"/>
    </row>
    <row r="53" spans="1:7" x14ac:dyDescent="0.3">
      <c r="A53" s="4" t="s">
        <v>100</v>
      </c>
      <c r="D53" s="8"/>
      <c r="E53" s="9"/>
      <c r="F53" s="7"/>
      <c r="G53" s="7"/>
    </row>
    <row r="54" spans="1:7" x14ac:dyDescent="0.3">
      <c r="A54" s="4" t="s">
        <v>102</v>
      </c>
      <c r="D54" s="3"/>
      <c r="E54" s="6"/>
      <c r="F54" s="3"/>
    </row>
    <row r="55" spans="1:7" x14ac:dyDescent="0.3">
      <c r="A55" s="4" t="s">
        <v>104</v>
      </c>
      <c r="D55" s="7"/>
      <c r="E55" s="6"/>
      <c r="F55" s="3"/>
    </row>
    <row r="56" spans="1:7" x14ac:dyDescent="0.3">
      <c r="A56" s="4" t="s">
        <v>106</v>
      </c>
      <c r="D56" s="3"/>
      <c r="E56" s="6"/>
      <c r="F56" s="3"/>
    </row>
    <row r="57" spans="1:7" x14ac:dyDescent="0.3">
      <c r="A57" s="4" t="s">
        <v>108</v>
      </c>
      <c r="D57" s="7"/>
      <c r="E57" s="6"/>
      <c r="F57" s="3"/>
    </row>
    <row r="58" spans="1:7" x14ac:dyDescent="0.3">
      <c r="A58" s="4" t="s">
        <v>109</v>
      </c>
      <c r="D58" s="3"/>
      <c r="E58" s="6"/>
      <c r="F58" s="3"/>
    </row>
    <row r="59" spans="1:7" x14ac:dyDescent="0.3">
      <c r="A59" s="4" t="s">
        <v>111</v>
      </c>
      <c r="D59" s="16"/>
      <c r="E59" s="15"/>
      <c r="F59" s="16"/>
    </row>
    <row r="60" spans="1:7" x14ac:dyDescent="0.3">
      <c r="A60" s="4" t="s">
        <v>113</v>
      </c>
      <c r="D60" s="3"/>
      <c r="E60" s="15"/>
      <c r="F60" s="16"/>
    </row>
    <row r="61" spans="1:7" s="10" customFormat="1" ht="15" thickBot="1" x14ac:dyDescent="0.35">
      <c r="A61" s="10" t="s">
        <v>114</v>
      </c>
      <c r="B61" s="4"/>
      <c r="C61" s="11">
        <f>SUM(C2:C60)</f>
        <v>2000000</v>
      </c>
      <c r="D61" s="4"/>
    </row>
    <row r="62" spans="1:7" ht="15" thickTop="1" x14ac:dyDescent="0.3"/>
    <row r="67" spans="4:4" x14ac:dyDescent="0.3">
      <c r="D67" s="12"/>
    </row>
  </sheetData>
  <conditionalFormatting sqref="F14:F15">
    <cfRule type="containsText" dxfId="867" priority="17" operator="containsText" text="No">
      <formula>NOT(ISERROR(SEARCH("No",F14)))</formula>
    </cfRule>
    <cfRule type="containsText" dxfId="866" priority="18" operator="containsText" text="Yes">
      <formula>NOT(ISERROR(SEARCH("Yes",F14)))</formula>
    </cfRule>
  </conditionalFormatting>
  <conditionalFormatting sqref="G1">
    <cfRule type="containsText" dxfId="865" priority="33" operator="containsText" text="No">
      <formula>NOT(ISERROR(SEARCH("No",G1)))</formula>
    </cfRule>
    <cfRule type="containsText" dxfId="864" priority="34" operator="containsText" text="Yes">
      <formula>NOT(ISERROR(SEARCH("Yes",G1)))</formula>
    </cfRule>
  </conditionalFormatting>
  <conditionalFormatting sqref="G16 G19">
    <cfRule type="containsText" dxfId="863" priority="23" operator="containsText" text="No">
      <formula>NOT(ISERROR(SEARCH("No",G16)))</formula>
    </cfRule>
    <cfRule type="containsText" dxfId="862" priority="24" operator="containsText" text="Yes">
      <formula>NOT(ISERROR(SEARCH("Yes",G16)))</formula>
    </cfRule>
  </conditionalFormatting>
  <conditionalFormatting sqref="G29">
    <cfRule type="containsText" dxfId="861" priority="21" operator="containsText" text="No">
      <formula>NOT(ISERROR(SEARCH("No",G29)))</formula>
    </cfRule>
    <cfRule type="containsText" dxfId="860" priority="22" operator="containsText" text="Yes">
      <formula>NOT(ISERROR(SEARCH("Yes",G29)))</formula>
    </cfRule>
  </conditionalFormatting>
  <conditionalFormatting sqref="G40">
    <cfRule type="containsText" dxfId="859" priority="37" operator="containsText" text="No">
      <formula>NOT(ISERROR(SEARCH("No",G40)))</formula>
    </cfRule>
    <cfRule type="containsText" dxfId="858" priority="38" operator="containsText" text="Yes">
      <formula>NOT(ISERROR(SEARCH("Yes",G40)))</formula>
    </cfRule>
  </conditionalFormatting>
  <conditionalFormatting sqref="G43">
    <cfRule type="containsText" dxfId="857" priority="31" operator="containsText" text="No">
      <formula>NOT(ISERROR(SEARCH("No",G43)))</formula>
    </cfRule>
    <cfRule type="containsText" dxfId="856" priority="32" operator="containsText" text="Yes">
      <formula>NOT(ISERROR(SEARCH("Yes",G43)))</formula>
    </cfRule>
  </conditionalFormatting>
  <conditionalFormatting sqref="G52">
    <cfRule type="containsText" dxfId="855" priority="29" operator="containsText" text="No">
      <formula>NOT(ISERROR(SEARCH("No",G52)))</formula>
    </cfRule>
    <cfRule type="containsText" dxfId="854" priority="30" operator="containsText" text="Yes">
      <formula>NOT(ISERROR(SEARCH("Yes",G52)))</formula>
    </cfRule>
  </conditionalFormatting>
  <conditionalFormatting sqref="G61:G1048576">
    <cfRule type="containsText" dxfId="853" priority="35" operator="containsText" text="No">
      <formula>NOT(ISERROR(SEARCH("No",G61)))</formula>
    </cfRule>
    <cfRule type="containsText" dxfId="852" priority="36" operator="containsText" text="Yes">
      <formula>NOT(ISERROR(SEARCH("Yes",G61)))</formula>
    </cfRule>
  </conditionalFormatting>
  <conditionalFormatting sqref="G2:H7">
    <cfRule type="containsText" dxfId="851" priority="5" operator="containsText" text="No">
      <formula>NOT(ISERROR(SEARCH("No",G2)))</formula>
    </cfRule>
    <cfRule type="containsText" dxfId="850" priority="6" operator="containsText" text="Yes">
      <formula>NOT(ISERROR(SEARCH("Yes",G2)))</formula>
    </cfRule>
  </conditionalFormatting>
  <conditionalFormatting sqref="G20:H28">
    <cfRule type="containsText" dxfId="849" priority="7" operator="containsText" text="No">
      <formula>NOT(ISERROR(SEARCH("No",G20)))</formula>
    </cfRule>
    <cfRule type="containsText" dxfId="848" priority="8" operator="containsText" text="Yes">
      <formula>NOT(ISERROR(SEARCH("Yes",G20)))</formula>
    </cfRule>
  </conditionalFormatting>
  <conditionalFormatting sqref="G30:H39">
    <cfRule type="containsText" dxfId="847" priority="11" operator="containsText" text="No">
      <formula>NOT(ISERROR(SEARCH("No",G30)))</formula>
    </cfRule>
    <cfRule type="containsText" dxfId="846" priority="12" operator="containsText" text="Yes">
      <formula>NOT(ISERROR(SEARCH("Yes",G30)))</formula>
    </cfRule>
  </conditionalFormatting>
  <conditionalFormatting sqref="G41:H42">
    <cfRule type="containsText" dxfId="845" priority="13" operator="containsText" text="No">
      <formula>NOT(ISERROR(SEARCH("No",G41)))</formula>
    </cfRule>
    <cfRule type="containsText" dxfId="844" priority="14" operator="containsText" text="Yes">
      <formula>NOT(ISERROR(SEARCH("Yes",G41)))</formula>
    </cfRule>
  </conditionalFormatting>
  <conditionalFormatting sqref="G44:H51">
    <cfRule type="containsText" dxfId="843" priority="1" operator="containsText" text="No">
      <formula>NOT(ISERROR(SEARCH("No",G44)))</formula>
    </cfRule>
    <cfRule type="containsText" dxfId="842" priority="2" operator="containsText" text="Yes">
      <formula>NOT(ISERROR(SEARCH("Yes",G44)))</formula>
    </cfRule>
  </conditionalFormatting>
  <conditionalFormatting sqref="G53:H60">
    <cfRule type="containsText" dxfId="841" priority="15" operator="containsText" text="No">
      <formula>NOT(ISERROR(SEARCH("No",G53)))</formula>
    </cfRule>
    <cfRule type="containsText" dxfId="840" priority="16" operator="containsText" text="Yes">
      <formula>NOT(ISERROR(SEARCH("Yes",G53)))</formula>
    </cfRule>
  </conditionalFormatting>
  <conditionalFormatting sqref="G8:I15">
    <cfRule type="containsText" dxfId="839" priority="3" operator="containsText" text="No">
      <formula>NOT(ISERROR(SEARCH("No",G8)))</formula>
    </cfRule>
    <cfRule type="containsText" dxfId="838" priority="4" operator="containsText" text="Yes">
      <formula>NOT(ISERROR(SEARCH("Yes",G8)))</formula>
    </cfRule>
  </conditionalFormatting>
  <conditionalFormatting sqref="G17:I18">
    <cfRule type="containsText" dxfId="837" priority="9" operator="containsText" text="No">
      <formula>NOT(ISERROR(SEARCH("No",G17)))</formula>
    </cfRule>
    <cfRule type="containsText" dxfId="836" priority="10" operator="containsText" text="Yes">
      <formula>NOT(ISERROR(SEARCH("Yes",G17)))</formula>
    </cfRule>
  </conditionalFormatting>
  <conditionalFormatting sqref="H28">
    <cfRule type="containsText" dxfId="835" priority="25" operator="containsText" text="No">
      <formula>NOT(ISERROR(SEARCH("No",H28)))</formula>
    </cfRule>
    <cfRule type="containsText" dxfId="834" priority="26" operator="containsText" text="Yes">
      <formula>NOT(ISERROR(SEARCH("Yes",H28)))</formula>
    </cfRule>
  </conditionalFormatting>
  <conditionalFormatting sqref="I20">
    <cfRule type="containsText" dxfId="833" priority="27" operator="containsText" text="No">
      <formula>NOT(ISERROR(SEARCH("No",I20)))</formula>
    </cfRule>
    <cfRule type="containsText" dxfId="832" priority="28" operator="containsText" text="Yes">
      <formula>NOT(ISERROR(SEARCH("Yes",I20)))</formula>
    </cfRule>
  </conditionalFormatting>
  <conditionalFormatting sqref="I20:I27 I30">
    <cfRule type="containsText" dxfId="831" priority="19" operator="containsText" text="No">
      <formula>NOT(ISERROR(SEARCH("No",I20)))</formula>
    </cfRule>
    <cfRule type="containsText" dxfId="830" priority="20" operator="containsText" text="Yes">
      <formula>NOT(ISERROR(SEARCH("Yes",I20)))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7"/>
  <sheetViews>
    <sheetView workbookViewId="0">
      <selection activeCell="B23" sqref="B23"/>
    </sheetView>
  </sheetViews>
  <sheetFormatPr defaultColWidth="10" defaultRowHeight="14.4" x14ac:dyDescent="0.3"/>
  <cols>
    <col min="1" max="1" width="17.5546875" style="4" bestFit="1" customWidth="1"/>
    <col min="2" max="2" width="12.33203125" style="4" bestFit="1" customWidth="1"/>
    <col min="3" max="3" width="18.5546875" style="5" bestFit="1" customWidth="1"/>
    <col min="4" max="4" width="23.88671875" style="4" bestFit="1" customWidth="1"/>
    <col min="5" max="5" width="16.6640625" style="4" bestFit="1" customWidth="1"/>
    <col min="6" max="6" width="14.6640625" style="4" bestFit="1" customWidth="1"/>
    <col min="7" max="7" width="14.6640625" style="4" customWidth="1"/>
    <col min="8" max="8" width="12.109375" style="4" bestFit="1" customWidth="1"/>
    <col min="9" max="9" width="10.33203125" style="4" bestFit="1" customWidth="1"/>
    <col min="10" max="16384" width="10" style="4"/>
  </cols>
  <sheetData>
    <row r="1" spans="1:9" s="1" customForma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s="1" customFormat="1" x14ac:dyDescent="0.3">
      <c r="A2" s="3" t="s">
        <v>8</v>
      </c>
      <c r="B2" s="4"/>
      <c r="C2" s="5"/>
      <c r="D2" s="3"/>
      <c r="E2" s="6"/>
      <c r="F2" s="3"/>
      <c r="G2" s="4"/>
      <c r="H2" s="4"/>
      <c r="I2" s="16"/>
    </row>
    <row r="3" spans="1:9" x14ac:dyDescent="0.3">
      <c r="A3" s="4" t="s">
        <v>12</v>
      </c>
      <c r="D3" s="3"/>
      <c r="E3" s="6"/>
      <c r="F3" s="16"/>
    </row>
    <row r="4" spans="1:9" x14ac:dyDescent="0.3">
      <c r="A4" s="4" t="s">
        <v>17</v>
      </c>
      <c r="D4" s="16"/>
      <c r="E4" s="6"/>
      <c r="F4" s="3"/>
    </row>
    <row r="5" spans="1:9" x14ac:dyDescent="0.3">
      <c r="A5" s="4" t="s">
        <v>18</v>
      </c>
      <c r="D5" s="3"/>
      <c r="E5" s="6"/>
      <c r="F5" s="3"/>
    </row>
    <row r="6" spans="1:9" x14ac:dyDescent="0.3">
      <c r="A6" s="4" t="s">
        <v>20</v>
      </c>
      <c r="D6" s="3"/>
      <c r="E6" s="6"/>
      <c r="F6" s="3"/>
    </row>
    <row r="7" spans="1:9" x14ac:dyDescent="0.3">
      <c r="A7" s="4" t="s">
        <v>22</v>
      </c>
      <c r="D7" s="3"/>
      <c r="E7" s="6"/>
      <c r="F7" s="3"/>
    </row>
    <row r="8" spans="1:9" x14ac:dyDescent="0.3">
      <c r="A8" s="4" t="s">
        <v>24</v>
      </c>
      <c r="D8" s="16"/>
      <c r="E8" s="6"/>
      <c r="F8" s="3"/>
    </row>
    <row r="9" spans="1:9" x14ac:dyDescent="0.3">
      <c r="A9" s="4" t="s">
        <v>28</v>
      </c>
      <c r="D9" s="3"/>
      <c r="E9" s="6"/>
      <c r="F9" s="3"/>
    </row>
    <row r="10" spans="1:9" x14ac:dyDescent="0.3">
      <c r="A10" s="4" t="s">
        <v>30</v>
      </c>
      <c r="D10" s="3"/>
      <c r="E10" s="6"/>
      <c r="F10" s="16"/>
    </row>
    <row r="11" spans="1:9" x14ac:dyDescent="0.3">
      <c r="A11" s="4" t="s">
        <v>31</v>
      </c>
      <c r="D11" s="3"/>
      <c r="E11" s="6"/>
      <c r="F11" s="3"/>
    </row>
    <row r="12" spans="1:9" x14ac:dyDescent="0.3">
      <c r="A12" s="4" t="s">
        <v>32</v>
      </c>
      <c r="D12" s="16"/>
      <c r="E12" s="6"/>
      <c r="F12" s="3"/>
    </row>
    <row r="13" spans="1:9" x14ac:dyDescent="0.3">
      <c r="A13" s="4" t="s">
        <v>33</v>
      </c>
      <c r="D13" s="3"/>
      <c r="E13" s="6"/>
      <c r="F13" s="3"/>
    </row>
    <row r="14" spans="1:9" x14ac:dyDescent="0.3">
      <c r="A14" s="4" t="s">
        <v>35</v>
      </c>
      <c r="D14" s="3"/>
      <c r="E14" s="6"/>
    </row>
    <row r="15" spans="1:9" x14ac:dyDescent="0.3">
      <c r="A15" s="4" t="s">
        <v>37</v>
      </c>
      <c r="D15" s="3"/>
      <c r="E15" s="6"/>
    </row>
    <row r="16" spans="1:9" x14ac:dyDescent="0.3">
      <c r="A16" s="4" t="s">
        <v>39</v>
      </c>
      <c r="D16" s="3"/>
      <c r="E16" s="6"/>
      <c r="F16" s="3"/>
    </row>
    <row r="17" spans="1:9" x14ac:dyDescent="0.3">
      <c r="A17" s="4" t="s">
        <v>40</v>
      </c>
      <c r="D17" s="3"/>
      <c r="E17" s="6"/>
      <c r="F17" s="3"/>
    </row>
    <row r="18" spans="1:9" x14ac:dyDescent="0.3">
      <c r="A18" s="4" t="s">
        <v>42</v>
      </c>
      <c r="D18" s="3"/>
      <c r="E18" s="6"/>
      <c r="F18" s="3"/>
    </row>
    <row r="19" spans="1:9" x14ac:dyDescent="0.3">
      <c r="A19" s="4" t="s">
        <v>43</v>
      </c>
      <c r="D19" s="3"/>
      <c r="E19" s="6"/>
      <c r="F19" s="3"/>
    </row>
    <row r="20" spans="1:9" x14ac:dyDescent="0.3">
      <c r="A20" s="4" t="s">
        <v>44</v>
      </c>
      <c r="D20" s="3"/>
      <c r="E20" s="15"/>
      <c r="F20" s="16"/>
      <c r="I20" s="18"/>
    </row>
    <row r="21" spans="1:9" x14ac:dyDescent="0.3">
      <c r="A21" s="4" t="s">
        <v>46</v>
      </c>
      <c r="D21" s="3"/>
      <c r="E21" s="6"/>
      <c r="F21" s="3"/>
    </row>
    <row r="22" spans="1:9" x14ac:dyDescent="0.3">
      <c r="A22" s="4" t="s">
        <v>49</v>
      </c>
      <c r="D22" s="3"/>
      <c r="E22" s="6"/>
      <c r="F22" s="3"/>
    </row>
    <row r="23" spans="1:9" x14ac:dyDescent="0.3">
      <c r="A23" s="4" t="s">
        <v>51</v>
      </c>
      <c r="B23" s="4" t="s">
        <v>13</v>
      </c>
      <c r="C23" s="5">
        <v>2000000</v>
      </c>
      <c r="D23" s="5" t="s">
        <v>207</v>
      </c>
      <c r="E23" s="6"/>
      <c r="F23" s="3" t="s">
        <v>209</v>
      </c>
      <c r="G23" s="4" t="s">
        <v>15</v>
      </c>
      <c r="H23" s="4" t="s">
        <v>16</v>
      </c>
    </row>
    <row r="24" spans="1:9" x14ac:dyDescent="0.3">
      <c r="A24" s="4" t="s">
        <v>52</v>
      </c>
      <c r="D24" s="3"/>
      <c r="E24" s="6"/>
      <c r="F24" s="3"/>
    </row>
    <row r="25" spans="1:9" x14ac:dyDescent="0.3">
      <c r="A25" s="4" t="s">
        <v>53</v>
      </c>
      <c r="D25" s="3"/>
      <c r="E25" s="6"/>
      <c r="F25" s="3"/>
    </row>
    <row r="26" spans="1:9" x14ac:dyDescent="0.3">
      <c r="A26" s="4" t="s">
        <v>55</v>
      </c>
      <c r="D26" s="3"/>
      <c r="E26" s="6"/>
      <c r="F26" s="3"/>
    </row>
    <row r="27" spans="1:9" x14ac:dyDescent="0.3">
      <c r="A27" s="4" t="s">
        <v>57</v>
      </c>
      <c r="D27" s="3"/>
      <c r="E27" s="6"/>
      <c r="F27" s="3"/>
    </row>
    <row r="28" spans="1:9" x14ac:dyDescent="0.3">
      <c r="A28" s="4" t="s">
        <v>59</v>
      </c>
      <c r="D28" s="3"/>
      <c r="E28" s="6"/>
      <c r="F28" s="3"/>
      <c r="G28" s="7"/>
      <c r="H28" s="5"/>
    </row>
    <row r="29" spans="1:9" x14ac:dyDescent="0.3">
      <c r="A29" s="4" t="s">
        <v>60</v>
      </c>
      <c r="D29" s="3"/>
      <c r="E29" s="6"/>
      <c r="F29" s="3"/>
    </row>
    <row r="30" spans="1:9" x14ac:dyDescent="0.3">
      <c r="A30" s="4" t="s">
        <v>61</v>
      </c>
      <c r="D30" s="3"/>
      <c r="E30" s="6"/>
      <c r="F30" s="3"/>
    </row>
    <row r="31" spans="1:9" x14ac:dyDescent="0.3">
      <c r="A31" s="4" t="s">
        <v>63</v>
      </c>
      <c r="D31" s="3"/>
      <c r="E31" s="6"/>
      <c r="F31" s="3"/>
    </row>
    <row r="32" spans="1:9" x14ac:dyDescent="0.3">
      <c r="A32" s="4" t="s">
        <v>64</v>
      </c>
      <c r="D32" s="3"/>
      <c r="E32" s="6"/>
      <c r="F32" s="3"/>
    </row>
    <row r="33" spans="1:7" x14ac:dyDescent="0.3">
      <c r="A33" s="4" t="s">
        <v>65</v>
      </c>
      <c r="D33" s="7"/>
      <c r="E33" s="6"/>
      <c r="F33" s="3"/>
    </row>
    <row r="34" spans="1:7" x14ac:dyDescent="0.3">
      <c r="A34" s="4" t="s">
        <v>67</v>
      </c>
      <c r="D34" s="3"/>
      <c r="E34" s="6"/>
      <c r="F34" s="3"/>
    </row>
    <row r="35" spans="1:7" x14ac:dyDescent="0.3">
      <c r="A35" s="4" t="s">
        <v>69</v>
      </c>
      <c r="D35" s="3"/>
      <c r="E35" s="6"/>
      <c r="F35" s="3"/>
    </row>
    <row r="36" spans="1:7" x14ac:dyDescent="0.3">
      <c r="A36" s="4" t="s">
        <v>71</v>
      </c>
      <c r="D36" s="7"/>
      <c r="E36" s="6"/>
      <c r="F36" s="3"/>
      <c r="G36" s="17"/>
    </row>
    <row r="37" spans="1:7" x14ac:dyDescent="0.3">
      <c r="A37" s="4" t="s">
        <v>73</v>
      </c>
      <c r="D37" s="3"/>
      <c r="E37" s="6"/>
      <c r="F37" s="3"/>
    </row>
    <row r="38" spans="1:7" x14ac:dyDescent="0.3">
      <c r="A38" s="4" t="s">
        <v>75</v>
      </c>
      <c r="D38" s="3"/>
      <c r="E38" s="6"/>
      <c r="F38" s="3"/>
    </row>
    <row r="39" spans="1:7" x14ac:dyDescent="0.3">
      <c r="A39" s="4" t="s">
        <v>76</v>
      </c>
      <c r="D39" s="3"/>
      <c r="E39" s="6"/>
      <c r="F39" s="3"/>
    </row>
    <row r="40" spans="1:7" x14ac:dyDescent="0.3">
      <c r="A40" s="4" t="s">
        <v>78</v>
      </c>
      <c r="D40" s="3"/>
      <c r="E40" s="6"/>
      <c r="F40" s="3"/>
    </row>
    <row r="41" spans="1:7" x14ac:dyDescent="0.3">
      <c r="A41" s="4" t="s">
        <v>79</v>
      </c>
      <c r="D41" s="16"/>
      <c r="E41" s="6"/>
      <c r="F41" s="3"/>
    </row>
    <row r="42" spans="1:7" x14ac:dyDescent="0.3">
      <c r="A42" s="4" t="s">
        <v>80</v>
      </c>
      <c r="D42" s="7"/>
      <c r="E42" s="6"/>
      <c r="F42" s="3"/>
    </row>
    <row r="43" spans="1:7" x14ac:dyDescent="0.3">
      <c r="A43" s="4" t="s">
        <v>81</v>
      </c>
      <c r="D43" s="3"/>
      <c r="E43" s="6"/>
      <c r="F43" s="3"/>
    </row>
    <row r="44" spans="1:7" x14ac:dyDescent="0.3">
      <c r="A44" s="4" t="s">
        <v>83</v>
      </c>
      <c r="D44" s="16"/>
      <c r="E44" s="6"/>
      <c r="F44" s="16"/>
    </row>
    <row r="45" spans="1:7" x14ac:dyDescent="0.3">
      <c r="A45" s="4" t="s">
        <v>85</v>
      </c>
      <c r="D45" s="3"/>
      <c r="E45" s="6"/>
      <c r="F45" s="3"/>
    </row>
    <row r="46" spans="1:7" x14ac:dyDescent="0.3">
      <c r="A46" s="4" t="s">
        <v>87</v>
      </c>
      <c r="D46" s="3"/>
      <c r="E46" s="6"/>
      <c r="F46" s="3"/>
    </row>
    <row r="47" spans="1:7" x14ac:dyDescent="0.3">
      <c r="A47" s="4" t="s">
        <v>89</v>
      </c>
      <c r="D47" s="3"/>
      <c r="E47" s="6"/>
      <c r="F47" s="3"/>
    </row>
    <row r="48" spans="1:7" x14ac:dyDescent="0.3">
      <c r="A48" s="4" t="s">
        <v>91</v>
      </c>
      <c r="D48" s="7"/>
      <c r="E48" s="6"/>
      <c r="F48" s="3"/>
    </row>
    <row r="49" spans="1:7" x14ac:dyDescent="0.3">
      <c r="A49" s="4" t="s">
        <v>93</v>
      </c>
      <c r="D49" s="3"/>
      <c r="E49" s="6"/>
      <c r="F49" s="3"/>
    </row>
    <row r="50" spans="1:7" x14ac:dyDescent="0.3">
      <c r="A50" s="4" t="s">
        <v>95</v>
      </c>
      <c r="D50" s="7"/>
      <c r="E50" s="6"/>
      <c r="F50" s="3"/>
    </row>
    <row r="51" spans="1:7" x14ac:dyDescent="0.3">
      <c r="A51" s="4" t="s">
        <v>96</v>
      </c>
      <c r="D51" s="7"/>
      <c r="E51" s="6"/>
      <c r="F51" s="3"/>
    </row>
    <row r="52" spans="1:7" x14ac:dyDescent="0.3">
      <c r="A52" s="4" t="s">
        <v>98</v>
      </c>
      <c r="D52" s="3"/>
      <c r="E52" s="6"/>
      <c r="F52" s="3"/>
    </row>
    <row r="53" spans="1:7" x14ac:dyDescent="0.3">
      <c r="A53" s="4" t="s">
        <v>100</v>
      </c>
      <c r="D53" s="8"/>
      <c r="E53" s="9"/>
      <c r="F53" s="7"/>
      <c r="G53" s="7"/>
    </row>
    <row r="54" spans="1:7" x14ac:dyDescent="0.3">
      <c r="A54" s="4" t="s">
        <v>102</v>
      </c>
      <c r="D54" s="3"/>
      <c r="E54" s="6"/>
      <c r="F54" s="3"/>
    </row>
    <row r="55" spans="1:7" x14ac:dyDescent="0.3">
      <c r="A55" s="4" t="s">
        <v>104</v>
      </c>
      <c r="D55" s="7"/>
      <c r="E55" s="6"/>
      <c r="F55" s="3"/>
    </row>
    <row r="56" spans="1:7" x14ac:dyDescent="0.3">
      <c r="A56" s="4" t="s">
        <v>106</v>
      </c>
      <c r="D56" s="3"/>
      <c r="E56" s="6"/>
      <c r="F56" s="3"/>
    </row>
    <row r="57" spans="1:7" x14ac:dyDescent="0.3">
      <c r="A57" s="4" t="s">
        <v>108</v>
      </c>
      <c r="D57" s="7"/>
      <c r="E57" s="6"/>
      <c r="F57" s="3"/>
    </row>
    <row r="58" spans="1:7" x14ac:dyDescent="0.3">
      <c r="A58" s="4" t="s">
        <v>109</v>
      </c>
      <c r="D58" s="3"/>
      <c r="E58" s="6"/>
      <c r="F58" s="3"/>
    </row>
    <row r="59" spans="1:7" x14ac:dyDescent="0.3">
      <c r="A59" s="4" t="s">
        <v>111</v>
      </c>
      <c r="D59" s="16"/>
      <c r="E59" s="15"/>
      <c r="F59" s="16"/>
    </row>
    <row r="60" spans="1:7" x14ac:dyDescent="0.3">
      <c r="A60" s="4" t="s">
        <v>113</v>
      </c>
      <c r="D60" s="3"/>
      <c r="E60" s="15"/>
      <c r="F60" s="16"/>
    </row>
    <row r="61" spans="1:7" s="10" customFormat="1" ht="15" thickBot="1" x14ac:dyDescent="0.35">
      <c r="A61" s="10" t="s">
        <v>114</v>
      </c>
      <c r="B61" s="4"/>
      <c r="C61" s="11">
        <f>SUM(C2:C60)</f>
        <v>2000000</v>
      </c>
      <c r="D61" s="4"/>
    </row>
    <row r="62" spans="1:7" ht="15" thickTop="1" x14ac:dyDescent="0.3"/>
    <row r="67" spans="4:4" x14ac:dyDescent="0.3">
      <c r="D67" s="12"/>
    </row>
  </sheetData>
  <conditionalFormatting sqref="F14:F15">
    <cfRule type="containsText" dxfId="829" priority="17" operator="containsText" text="No">
      <formula>NOT(ISERROR(SEARCH("No",F14)))</formula>
    </cfRule>
    <cfRule type="containsText" dxfId="828" priority="18" operator="containsText" text="Yes">
      <formula>NOT(ISERROR(SEARCH("Yes",F14)))</formula>
    </cfRule>
  </conditionalFormatting>
  <conditionalFormatting sqref="G1">
    <cfRule type="containsText" dxfId="827" priority="33" operator="containsText" text="No">
      <formula>NOT(ISERROR(SEARCH("No",G1)))</formula>
    </cfRule>
    <cfRule type="containsText" dxfId="826" priority="34" operator="containsText" text="Yes">
      <formula>NOT(ISERROR(SEARCH("Yes",G1)))</formula>
    </cfRule>
  </conditionalFormatting>
  <conditionalFormatting sqref="G16 G19">
    <cfRule type="containsText" dxfId="825" priority="23" operator="containsText" text="No">
      <formula>NOT(ISERROR(SEARCH("No",G16)))</formula>
    </cfRule>
    <cfRule type="containsText" dxfId="824" priority="24" operator="containsText" text="Yes">
      <formula>NOT(ISERROR(SEARCH("Yes",G16)))</formula>
    </cfRule>
  </conditionalFormatting>
  <conditionalFormatting sqref="G29">
    <cfRule type="containsText" dxfId="823" priority="21" operator="containsText" text="No">
      <formula>NOT(ISERROR(SEARCH("No",G29)))</formula>
    </cfRule>
    <cfRule type="containsText" dxfId="822" priority="22" operator="containsText" text="Yes">
      <formula>NOT(ISERROR(SEARCH("Yes",G29)))</formula>
    </cfRule>
  </conditionalFormatting>
  <conditionalFormatting sqref="G40">
    <cfRule type="containsText" dxfId="821" priority="37" operator="containsText" text="No">
      <formula>NOT(ISERROR(SEARCH("No",G40)))</formula>
    </cfRule>
    <cfRule type="containsText" dxfId="820" priority="38" operator="containsText" text="Yes">
      <formula>NOT(ISERROR(SEARCH("Yes",G40)))</formula>
    </cfRule>
  </conditionalFormatting>
  <conditionalFormatting sqref="G43">
    <cfRule type="containsText" dxfId="819" priority="31" operator="containsText" text="No">
      <formula>NOT(ISERROR(SEARCH("No",G43)))</formula>
    </cfRule>
    <cfRule type="containsText" dxfId="818" priority="32" operator="containsText" text="Yes">
      <formula>NOT(ISERROR(SEARCH("Yes",G43)))</formula>
    </cfRule>
  </conditionalFormatting>
  <conditionalFormatting sqref="G52">
    <cfRule type="containsText" dxfId="817" priority="29" operator="containsText" text="No">
      <formula>NOT(ISERROR(SEARCH("No",G52)))</formula>
    </cfRule>
    <cfRule type="containsText" dxfId="816" priority="30" operator="containsText" text="Yes">
      <formula>NOT(ISERROR(SEARCH("Yes",G52)))</formula>
    </cfRule>
  </conditionalFormatting>
  <conditionalFormatting sqref="G61:G1048576">
    <cfRule type="containsText" dxfId="815" priority="35" operator="containsText" text="No">
      <formula>NOT(ISERROR(SEARCH("No",G61)))</formula>
    </cfRule>
    <cfRule type="containsText" dxfId="814" priority="36" operator="containsText" text="Yes">
      <formula>NOT(ISERROR(SEARCH("Yes",G61)))</formula>
    </cfRule>
  </conditionalFormatting>
  <conditionalFormatting sqref="G2:H7">
    <cfRule type="containsText" dxfId="813" priority="5" operator="containsText" text="No">
      <formula>NOT(ISERROR(SEARCH("No",G2)))</formula>
    </cfRule>
    <cfRule type="containsText" dxfId="812" priority="6" operator="containsText" text="Yes">
      <formula>NOT(ISERROR(SEARCH("Yes",G2)))</formula>
    </cfRule>
  </conditionalFormatting>
  <conditionalFormatting sqref="G20:H28">
    <cfRule type="containsText" dxfId="811" priority="7" operator="containsText" text="No">
      <formula>NOT(ISERROR(SEARCH("No",G20)))</formula>
    </cfRule>
    <cfRule type="containsText" dxfId="810" priority="8" operator="containsText" text="Yes">
      <formula>NOT(ISERROR(SEARCH("Yes",G20)))</formula>
    </cfRule>
  </conditionalFormatting>
  <conditionalFormatting sqref="G30:H39">
    <cfRule type="containsText" dxfId="809" priority="11" operator="containsText" text="No">
      <formula>NOT(ISERROR(SEARCH("No",G30)))</formula>
    </cfRule>
    <cfRule type="containsText" dxfId="808" priority="12" operator="containsText" text="Yes">
      <formula>NOT(ISERROR(SEARCH("Yes",G30)))</formula>
    </cfRule>
  </conditionalFormatting>
  <conditionalFormatting sqref="G41:H42">
    <cfRule type="containsText" dxfId="807" priority="13" operator="containsText" text="No">
      <formula>NOT(ISERROR(SEARCH("No",G41)))</formula>
    </cfRule>
    <cfRule type="containsText" dxfId="806" priority="14" operator="containsText" text="Yes">
      <formula>NOT(ISERROR(SEARCH("Yes",G41)))</formula>
    </cfRule>
  </conditionalFormatting>
  <conditionalFormatting sqref="G44:H51">
    <cfRule type="containsText" dxfId="805" priority="1" operator="containsText" text="No">
      <formula>NOT(ISERROR(SEARCH("No",G44)))</formula>
    </cfRule>
    <cfRule type="containsText" dxfId="804" priority="2" operator="containsText" text="Yes">
      <formula>NOT(ISERROR(SEARCH("Yes",G44)))</formula>
    </cfRule>
  </conditionalFormatting>
  <conditionalFormatting sqref="G53:H60">
    <cfRule type="containsText" dxfId="803" priority="15" operator="containsText" text="No">
      <formula>NOT(ISERROR(SEARCH("No",G53)))</formula>
    </cfRule>
    <cfRule type="containsText" dxfId="802" priority="16" operator="containsText" text="Yes">
      <formula>NOT(ISERROR(SEARCH("Yes",G53)))</formula>
    </cfRule>
  </conditionalFormatting>
  <conditionalFormatting sqref="G8:I15">
    <cfRule type="containsText" dxfId="801" priority="3" operator="containsText" text="No">
      <formula>NOT(ISERROR(SEARCH("No",G8)))</formula>
    </cfRule>
    <cfRule type="containsText" dxfId="800" priority="4" operator="containsText" text="Yes">
      <formula>NOT(ISERROR(SEARCH("Yes",G8)))</formula>
    </cfRule>
  </conditionalFormatting>
  <conditionalFormatting sqref="G17:I18">
    <cfRule type="containsText" dxfId="799" priority="9" operator="containsText" text="No">
      <formula>NOT(ISERROR(SEARCH("No",G17)))</formula>
    </cfRule>
    <cfRule type="containsText" dxfId="798" priority="10" operator="containsText" text="Yes">
      <formula>NOT(ISERROR(SEARCH("Yes",G17)))</formula>
    </cfRule>
  </conditionalFormatting>
  <conditionalFormatting sqref="H28">
    <cfRule type="containsText" dxfId="797" priority="25" operator="containsText" text="No">
      <formula>NOT(ISERROR(SEARCH("No",H28)))</formula>
    </cfRule>
    <cfRule type="containsText" dxfId="796" priority="26" operator="containsText" text="Yes">
      <formula>NOT(ISERROR(SEARCH("Yes",H28)))</formula>
    </cfRule>
  </conditionalFormatting>
  <conditionalFormatting sqref="I20">
    <cfRule type="containsText" dxfId="795" priority="27" operator="containsText" text="No">
      <formula>NOT(ISERROR(SEARCH("No",I20)))</formula>
    </cfRule>
    <cfRule type="containsText" dxfId="794" priority="28" operator="containsText" text="Yes">
      <formula>NOT(ISERROR(SEARCH("Yes",I20)))</formula>
    </cfRule>
  </conditionalFormatting>
  <conditionalFormatting sqref="I20:I27 I30">
    <cfRule type="containsText" dxfId="793" priority="19" operator="containsText" text="No">
      <formula>NOT(ISERROR(SEARCH("No",I20)))</formula>
    </cfRule>
    <cfRule type="containsText" dxfId="792" priority="20" operator="containsText" text="Yes">
      <formula>NOT(ISERROR(SEARCH("Yes",I20)))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8"/>
  <sheetViews>
    <sheetView topLeftCell="A32" workbookViewId="0">
      <selection activeCell="D58" sqref="D58"/>
    </sheetView>
  </sheetViews>
  <sheetFormatPr defaultColWidth="10" defaultRowHeight="14.4" x14ac:dyDescent="0.3"/>
  <cols>
    <col min="1" max="1" width="17.5546875" style="4" bestFit="1" customWidth="1"/>
    <col min="2" max="2" width="12.33203125" style="4" bestFit="1" customWidth="1"/>
    <col min="3" max="3" width="18.5546875" style="5" bestFit="1" customWidth="1"/>
    <col min="4" max="4" width="23.88671875" style="4" bestFit="1" customWidth="1"/>
    <col min="5" max="5" width="16.6640625" style="4" bestFit="1" customWidth="1"/>
    <col min="6" max="6" width="14.6640625" style="4" bestFit="1" customWidth="1"/>
    <col min="7" max="7" width="14.6640625" style="4" customWidth="1"/>
    <col min="8" max="8" width="12.109375" style="4" bestFit="1" customWidth="1"/>
    <col min="9" max="9" width="10.33203125" style="4" bestFit="1" customWidth="1"/>
    <col min="10" max="16384" width="10" style="4"/>
  </cols>
  <sheetData>
    <row r="1" spans="1:9" s="1" customForma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s="1" customFormat="1" x14ac:dyDescent="0.3">
      <c r="A2" s="3" t="s">
        <v>8</v>
      </c>
      <c r="B2" s="4" t="s">
        <v>9</v>
      </c>
      <c r="C2" s="5">
        <v>7467900</v>
      </c>
      <c r="D2" s="3" t="s">
        <v>10</v>
      </c>
      <c r="E2" s="6">
        <v>21286375</v>
      </c>
      <c r="F2" s="3"/>
      <c r="G2" s="4" t="s">
        <v>11</v>
      </c>
      <c r="H2" s="4"/>
      <c r="I2" s="16"/>
    </row>
    <row r="3" spans="1:9" x14ac:dyDescent="0.3">
      <c r="A3" s="4" t="s">
        <v>12</v>
      </c>
      <c r="B3" s="4" t="s">
        <v>13</v>
      </c>
      <c r="C3" s="5">
        <v>2935750</v>
      </c>
      <c r="D3" s="3" t="s">
        <v>14</v>
      </c>
      <c r="E3" s="6">
        <v>1253726</v>
      </c>
      <c r="F3" s="16" t="s">
        <v>230</v>
      </c>
      <c r="G3" s="4" t="s">
        <v>15</v>
      </c>
      <c r="H3" s="4" t="s">
        <v>16</v>
      </c>
    </row>
    <row r="4" spans="1:9" x14ac:dyDescent="0.3">
      <c r="A4" s="4" t="s">
        <v>17</v>
      </c>
      <c r="D4" s="16"/>
      <c r="E4" s="6"/>
      <c r="F4" s="3"/>
    </row>
    <row r="5" spans="1:9" x14ac:dyDescent="0.3">
      <c r="A5" s="4" t="s">
        <v>18</v>
      </c>
      <c r="B5" s="4" t="s">
        <v>13</v>
      </c>
      <c r="C5" s="5">
        <v>2619600</v>
      </c>
      <c r="D5" s="3"/>
      <c r="E5" s="6">
        <v>23487295</v>
      </c>
      <c r="F5" s="3"/>
      <c r="G5" s="4" t="s">
        <v>15</v>
      </c>
      <c r="H5" s="4" t="s">
        <v>16</v>
      </c>
    </row>
    <row r="6" spans="1:9" x14ac:dyDescent="0.3">
      <c r="A6" s="4" t="s">
        <v>20</v>
      </c>
      <c r="B6" s="4" t="s">
        <v>13</v>
      </c>
      <c r="C6" s="5">
        <v>2032590</v>
      </c>
      <c r="D6" s="3" t="s">
        <v>21</v>
      </c>
      <c r="E6" s="6">
        <v>25461357</v>
      </c>
      <c r="F6" s="3"/>
      <c r="G6" s="4" t="s">
        <v>15</v>
      </c>
      <c r="H6" s="4" t="s">
        <v>16</v>
      </c>
    </row>
    <row r="7" spans="1:9" x14ac:dyDescent="0.3">
      <c r="A7" s="4" t="s">
        <v>22</v>
      </c>
      <c r="B7" s="4" t="s">
        <v>13</v>
      </c>
      <c r="C7" s="5">
        <v>3774500</v>
      </c>
      <c r="D7" s="3" t="s">
        <v>23</v>
      </c>
      <c r="E7" s="6">
        <v>22698783</v>
      </c>
      <c r="F7" s="3"/>
      <c r="G7" s="4" t="s">
        <v>15</v>
      </c>
      <c r="H7" s="4" t="s">
        <v>16</v>
      </c>
    </row>
    <row r="8" spans="1:9" x14ac:dyDescent="0.3">
      <c r="A8" s="4" t="s">
        <v>24</v>
      </c>
      <c r="B8" s="4" t="s">
        <v>25</v>
      </c>
      <c r="C8" s="5">
        <v>2708600</v>
      </c>
      <c r="D8" s="16" t="s">
        <v>26</v>
      </c>
      <c r="E8" s="6"/>
      <c r="F8" s="3" t="s">
        <v>217</v>
      </c>
      <c r="G8" s="4" t="s">
        <v>15</v>
      </c>
      <c r="H8" s="4" t="s">
        <v>27</v>
      </c>
    </row>
    <row r="9" spans="1:9" x14ac:dyDescent="0.3">
      <c r="A9" s="4" t="s">
        <v>28</v>
      </c>
      <c r="B9" s="4" t="s">
        <v>13</v>
      </c>
      <c r="C9" s="5">
        <v>2436850</v>
      </c>
      <c r="D9" s="3" t="s">
        <v>29</v>
      </c>
      <c r="E9" s="6">
        <v>23487283</v>
      </c>
      <c r="F9" s="3"/>
      <c r="G9" s="4" t="s">
        <v>15</v>
      </c>
      <c r="H9" s="4" t="s">
        <v>16</v>
      </c>
    </row>
    <row r="10" spans="1:9" x14ac:dyDescent="0.3">
      <c r="A10" s="4" t="s">
        <v>30</v>
      </c>
      <c r="B10" s="4" t="s">
        <v>25</v>
      </c>
      <c r="C10" s="5">
        <v>17136600</v>
      </c>
      <c r="D10" s="3" t="s">
        <v>136</v>
      </c>
      <c r="E10" s="6" t="s">
        <v>232</v>
      </c>
      <c r="F10" s="16" t="s">
        <v>233</v>
      </c>
      <c r="G10" s="4" t="s">
        <v>15</v>
      </c>
      <c r="H10" s="4" t="s">
        <v>27</v>
      </c>
    </row>
    <row r="11" spans="1:9" x14ac:dyDescent="0.3">
      <c r="A11" s="4" t="s">
        <v>31</v>
      </c>
      <c r="B11" s="4" t="s">
        <v>13</v>
      </c>
      <c r="C11" s="5">
        <v>5038800</v>
      </c>
      <c r="D11" s="3" t="s">
        <v>152</v>
      </c>
      <c r="E11" s="6">
        <v>1233981</v>
      </c>
      <c r="F11" s="3" t="s">
        <v>226</v>
      </c>
      <c r="G11" s="4" t="s">
        <v>15</v>
      </c>
      <c r="H11" s="4" t="s">
        <v>16</v>
      </c>
    </row>
    <row r="12" spans="1:9" x14ac:dyDescent="0.3">
      <c r="A12" s="4" t="s">
        <v>32</v>
      </c>
      <c r="B12" s="4" t="s">
        <v>9</v>
      </c>
      <c r="C12" s="5">
        <v>3823250</v>
      </c>
      <c r="D12" s="16" t="s">
        <v>137</v>
      </c>
      <c r="E12" s="6">
        <v>42641</v>
      </c>
      <c r="F12" s="3"/>
      <c r="G12" s="4" t="s">
        <v>11</v>
      </c>
    </row>
    <row r="13" spans="1:9" x14ac:dyDescent="0.3">
      <c r="A13" s="4" t="s">
        <v>33</v>
      </c>
      <c r="B13" s="4" t="s">
        <v>13</v>
      </c>
      <c r="C13" s="5">
        <v>3024170</v>
      </c>
      <c r="D13" s="3" t="s">
        <v>34</v>
      </c>
      <c r="E13" s="6"/>
      <c r="F13" s="3"/>
      <c r="G13" s="4" t="s">
        <v>15</v>
      </c>
      <c r="H13" s="4" t="s">
        <v>16</v>
      </c>
    </row>
    <row r="14" spans="1:9" x14ac:dyDescent="0.3">
      <c r="A14" s="4" t="s">
        <v>35</v>
      </c>
      <c r="B14" s="4" t="s">
        <v>13</v>
      </c>
      <c r="C14" s="5">
        <v>845450</v>
      </c>
      <c r="D14" s="3" t="s">
        <v>36</v>
      </c>
      <c r="E14" s="6">
        <v>1221249</v>
      </c>
      <c r="F14" s="4" t="s">
        <v>214</v>
      </c>
      <c r="G14" s="4" t="s">
        <v>15</v>
      </c>
      <c r="H14" s="4" t="s">
        <v>16</v>
      </c>
    </row>
    <row r="15" spans="1:9" x14ac:dyDescent="0.3">
      <c r="A15" s="4" t="s">
        <v>37</v>
      </c>
      <c r="B15" s="4" t="s">
        <v>13</v>
      </c>
      <c r="C15" s="5">
        <v>4472440</v>
      </c>
      <c r="D15" s="3" t="s">
        <v>38</v>
      </c>
      <c r="E15" s="6"/>
      <c r="G15" s="4" t="s">
        <v>15</v>
      </c>
      <c r="H15" s="4" t="s">
        <v>16</v>
      </c>
    </row>
    <row r="16" spans="1:9" x14ac:dyDescent="0.3">
      <c r="A16" s="4" t="s">
        <v>39</v>
      </c>
      <c r="D16" s="3"/>
      <c r="E16" s="6"/>
      <c r="F16" s="3"/>
    </row>
    <row r="17" spans="1:9" x14ac:dyDescent="0.3">
      <c r="A17" s="4" t="s">
        <v>40</v>
      </c>
      <c r="B17" s="4" t="s">
        <v>13</v>
      </c>
      <c r="C17" s="5">
        <v>4361200</v>
      </c>
      <c r="D17" s="3" t="s">
        <v>41</v>
      </c>
      <c r="E17" s="6">
        <v>24596051</v>
      </c>
      <c r="F17" s="3"/>
      <c r="G17" s="4" t="s">
        <v>15</v>
      </c>
      <c r="H17" s="4" t="s">
        <v>16</v>
      </c>
    </row>
    <row r="18" spans="1:9" x14ac:dyDescent="0.3">
      <c r="A18" s="4" t="s">
        <v>42</v>
      </c>
      <c r="B18" s="4" t="s">
        <v>13</v>
      </c>
      <c r="C18" s="5">
        <v>2270900</v>
      </c>
      <c r="D18" s="3" t="s">
        <v>128</v>
      </c>
      <c r="E18" s="6"/>
      <c r="F18" s="3"/>
      <c r="G18" s="4" t="s">
        <v>15</v>
      </c>
      <c r="H18" s="4" t="s">
        <v>16</v>
      </c>
    </row>
    <row r="19" spans="1:9" x14ac:dyDescent="0.3">
      <c r="A19" s="4" t="s">
        <v>43</v>
      </c>
      <c r="D19" s="3"/>
      <c r="E19" s="6"/>
      <c r="F19" s="3"/>
    </row>
    <row r="20" spans="1:9" x14ac:dyDescent="0.3">
      <c r="A20" s="4" t="s">
        <v>44</v>
      </c>
      <c r="B20" s="4" t="s">
        <v>25</v>
      </c>
      <c r="C20" s="5">
        <v>8722100</v>
      </c>
      <c r="D20" s="3" t="s">
        <v>45</v>
      </c>
      <c r="E20" s="15" t="s">
        <v>224</v>
      </c>
      <c r="F20" s="16" t="s">
        <v>225</v>
      </c>
      <c r="G20" s="4" t="s">
        <v>15</v>
      </c>
      <c r="H20" s="4" t="s">
        <v>27</v>
      </c>
      <c r="I20" s="18"/>
    </row>
    <row r="21" spans="1:9" x14ac:dyDescent="0.3">
      <c r="A21" s="4" t="s">
        <v>46</v>
      </c>
      <c r="B21" s="4" t="s">
        <v>25</v>
      </c>
      <c r="C21" s="5">
        <v>3133350</v>
      </c>
      <c r="D21" s="3" t="s">
        <v>47</v>
      </c>
      <c r="E21" s="6" t="s">
        <v>211</v>
      </c>
      <c r="F21" s="3" t="s">
        <v>212</v>
      </c>
      <c r="G21" s="4" t="s">
        <v>15</v>
      </c>
      <c r="H21" s="4" t="s">
        <v>27</v>
      </c>
    </row>
    <row r="22" spans="1:9" x14ac:dyDescent="0.3">
      <c r="A22" s="4" t="s">
        <v>49</v>
      </c>
      <c r="B22" s="4" t="s">
        <v>13</v>
      </c>
      <c r="C22" s="5">
        <v>4606050</v>
      </c>
      <c r="D22" s="3" t="s">
        <v>50</v>
      </c>
      <c r="E22" s="6">
        <v>1246980</v>
      </c>
      <c r="F22" s="3" t="s">
        <v>206</v>
      </c>
      <c r="G22" s="4" t="s">
        <v>15</v>
      </c>
      <c r="H22" s="4" t="s">
        <v>16</v>
      </c>
    </row>
    <row r="23" spans="1:9" x14ac:dyDescent="0.3">
      <c r="A23" s="4" t="s">
        <v>51</v>
      </c>
      <c r="B23" s="4" t="s">
        <v>13</v>
      </c>
      <c r="C23" s="5">
        <v>1000000</v>
      </c>
      <c r="D23" s="5" t="s">
        <v>207</v>
      </c>
      <c r="E23" s="6"/>
      <c r="F23" s="3" t="s">
        <v>210</v>
      </c>
      <c r="G23" s="4" t="s">
        <v>15</v>
      </c>
      <c r="H23" s="4" t="s">
        <v>16</v>
      </c>
    </row>
    <row r="24" spans="1:9" x14ac:dyDescent="0.3">
      <c r="A24" s="4" t="s">
        <v>51</v>
      </c>
      <c r="B24" s="4" t="s">
        <v>13</v>
      </c>
      <c r="C24" s="5">
        <v>2286900</v>
      </c>
      <c r="D24" s="5" t="s">
        <v>215</v>
      </c>
      <c r="E24" s="6">
        <v>1222078</v>
      </c>
      <c r="F24" s="3" t="s">
        <v>216</v>
      </c>
      <c r="G24" s="4" t="s">
        <v>15</v>
      </c>
      <c r="H24" s="4" t="s">
        <v>16</v>
      </c>
    </row>
    <row r="25" spans="1:9" x14ac:dyDescent="0.3">
      <c r="A25" s="4" t="s">
        <v>52</v>
      </c>
      <c r="D25" s="3"/>
      <c r="E25" s="6"/>
      <c r="F25" s="3"/>
    </row>
    <row r="26" spans="1:9" x14ac:dyDescent="0.3">
      <c r="A26" s="4" t="s">
        <v>53</v>
      </c>
      <c r="B26" s="4" t="s">
        <v>9</v>
      </c>
      <c r="C26" s="5">
        <v>11378400</v>
      </c>
      <c r="D26" s="3" t="s">
        <v>183</v>
      </c>
      <c r="E26" s="6">
        <v>6472831</v>
      </c>
      <c r="F26" s="3"/>
      <c r="G26" s="4" t="s">
        <v>11</v>
      </c>
    </row>
    <row r="27" spans="1:9" x14ac:dyDescent="0.3">
      <c r="A27" s="4" t="s">
        <v>55</v>
      </c>
      <c r="B27" s="4" t="s">
        <v>13</v>
      </c>
      <c r="C27" s="5">
        <v>3214110</v>
      </c>
      <c r="D27" s="3" t="s">
        <v>56</v>
      </c>
      <c r="E27" s="6"/>
      <c r="F27" s="3"/>
      <c r="G27" s="4" t="s">
        <v>15</v>
      </c>
      <c r="H27" s="4" t="s">
        <v>16</v>
      </c>
    </row>
    <row r="28" spans="1:9" x14ac:dyDescent="0.3">
      <c r="A28" s="4" t="s">
        <v>57</v>
      </c>
      <c r="B28" s="4" t="s">
        <v>13</v>
      </c>
      <c r="C28" s="5">
        <v>1899105</v>
      </c>
      <c r="D28" s="3" t="s">
        <v>58</v>
      </c>
      <c r="E28" s="6"/>
      <c r="F28" s="3"/>
      <c r="G28" s="4" t="s">
        <v>15</v>
      </c>
      <c r="H28" s="4" t="s">
        <v>16</v>
      </c>
    </row>
    <row r="29" spans="1:9" x14ac:dyDescent="0.3">
      <c r="A29" s="4" t="s">
        <v>59</v>
      </c>
      <c r="D29" s="3"/>
      <c r="E29" s="6"/>
      <c r="F29" s="3"/>
      <c r="G29" s="7"/>
      <c r="H29" s="5"/>
    </row>
    <row r="30" spans="1:9" x14ac:dyDescent="0.3">
      <c r="A30" s="4" t="s">
        <v>60</v>
      </c>
      <c r="D30" s="3"/>
      <c r="E30" s="6"/>
      <c r="F30" s="3"/>
    </row>
    <row r="31" spans="1:9" x14ac:dyDescent="0.3">
      <c r="A31" s="4" t="s">
        <v>61</v>
      </c>
      <c r="D31" s="3"/>
      <c r="E31" s="6"/>
      <c r="F31" s="3"/>
    </row>
    <row r="32" spans="1:9" x14ac:dyDescent="0.3">
      <c r="A32" s="4" t="s">
        <v>63</v>
      </c>
      <c r="D32" s="3"/>
      <c r="E32" s="6"/>
      <c r="F32" s="3"/>
    </row>
    <row r="33" spans="1:8" x14ac:dyDescent="0.3">
      <c r="A33" s="4" t="s">
        <v>64</v>
      </c>
      <c r="B33" s="4" t="s">
        <v>13</v>
      </c>
      <c r="C33" s="5">
        <v>1134520</v>
      </c>
      <c r="D33" s="3" t="s">
        <v>168</v>
      </c>
      <c r="E33" s="6">
        <v>23487289</v>
      </c>
      <c r="F33" s="3"/>
      <c r="G33" s="4" t="s">
        <v>15</v>
      </c>
      <c r="H33" s="4" t="s">
        <v>16</v>
      </c>
    </row>
    <row r="34" spans="1:8" x14ac:dyDescent="0.3">
      <c r="A34" s="4" t="s">
        <v>65</v>
      </c>
      <c r="B34" s="4" t="s">
        <v>13</v>
      </c>
      <c r="C34" s="5">
        <v>2003250</v>
      </c>
      <c r="D34" s="7" t="s">
        <v>66</v>
      </c>
      <c r="E34" s="6">
        <v>23487287</v>
      </c>
      <c r="F34" s="3"/>
      <c r="G34" s="4" t="s">
        <v>15</v>
      </c>
      <c r="H34" s="4" t="s">
        <v>16</v>
      </c>
    </row>
    <row r="35" spans="1:8" x14ac:dyDescent="0.3">
      <c r="A35" s="4" t="s">
        <v>67</v>
      </c>
      <c r="B35" s="4" t="s">
        <v>13</v>
      </c>
      <c r="C35" s="5">
        <v>3594700</v>
      </c>
      <c r="D35" s="3" t="s">
        <v>68</v>
      </c>
      <c r="E35" s="6">
        <v>23487285</v>
      </c>
      <c r="F35" s="3"/>
      <c r="G35" s="4" t="s">
        <v>15</v>
      </c>
      <c r="H35" s="4" t="s">
        <v>27</v>
      </c>
    </row>
    <row r="36" spans="1:8" x14ac:dyDescent="0.3">
      <c r="A36" s="4" t="s">
        <v>69</v>
      </c>
      <c r="B36" s="4" t="s">
        <v>25</v>
      </c>
      <c r="C36" s="5">
        <v>2433300</v>
      </c>
      <c r="D36" s="3" t="s">
        <v>70</v>
      </c>
      <c r="E36" s="6"/>
      <c r="F36" s="3" t="s">
        <v>221</v>
      </c>
      <c r="G36" s="4" t="s">
        <v>15</v>
      </c>
      <c r="H36" s="4" t="s">
        <v>27</v>
      </c>
    </row>
    <row r="37" spans="1:8" x14ac:dyDescent="0.3">
      <c r="A37" s="4" t="s">
        <v>71</v>
      </c>
      <c r="B37" s="4" t="s">
        <v>25</v>
      </c>
      <c r="C37" s="5">
        <v>7424970</v>
      </c>
      <c r="D37" s="7" t="s">
        <v>72</v>
      </c>
      <c r="E37" s="6">
        <v>952011</v>
      </c>
      <c r="F37" s="3"/>
      <c r="G37" s="17" t="s">
        <v>15</v>
      </c>
      <c r="H37" s="4" t="s">
        <v>27</v>
      </c>
    </row>
    <row r="38" spans="1:8" x14ac:dyDescent="0.3">
      <c r="A38" s="4" t="s">
        <v>73</v>
      </c>
      <c r="B38" s="4" t="s">
        <v>13</v>
      </c>
      <c r="C38" s="5">
        <v>4708500</v>
      </c>
      <c r="D38" s="3" t="s">
        <v>74</v>
      </c>
      <c r="E38" s="6">
        <v>1242473</v>
      </c>
      <c r="F38" s="3" t="s">
        <v>227</v>
      </c>
      <c r="G38" s="4" t="s">
        <v>15</v>
      </c>
      <c r="H38" s="4" t="s">
        <v>16</v>
      </c>
    </row>
    <row r="39" spans="1:8" x14ac:dyDescent="0.3">
      <c r="A39" s="4" t="s">
        <v>75</v>
      </c>
      <c r="B39" s="4" t="s">
        <v>13</v>
      </c>
      <c r="C39" s="5">
        <v>1401450</v>
      </c>
      <c r="D39" s="3" t="s">
        <v>234</v>
      </c>
      <c r="E39" s="6"/>
      <c r="F39" s="3"/>
      <c r="G39" s="4" t="s">
        <v>15</v>
      </c>
      <c r="H39" s="4" t="s">
        <v>16</v>
      </c>
    </row>
    <row r="40" spans="1:8" x14ac:dyDescent="0.3">
      <c r="A40" s="4" t="s">
        <v>76</v>
      </c>
      <c r="B40" s="4" t="s">
        <v>25</v>
      </c>
      <c r="C40" s="5">
        <v>630400</v>
      </c>
      <c r="D40" s="3" t="s">
        <v>77</v>
      </c>
      <c r="E40" s="6">
        <v>9439</v>
      </c>
      <c r="F40" s="3"/>
      <c r="G40" s="4" t="s">
        <v>15</v>
      </c>
      <c r="H40" s="4" t="s">
        <v>27</v>
      </c>
    </row>
    <row r="41" spans="1:8" x14ac:dyDescent="0.3">
      <c r="A41" s="4" t="s">
        <v>78</v>
      </c>
      <c r="D41" s="3"/>
      <c r="E41" s="6"/>
      <c r="F41" s="3"/>
    </row>
    <row r="42" spans="1:8" x14ac:dyDescent="0.3">
      <c r="A42" s="4" t="s">
        <v>79</v>
      </c>
      <c r="B42" s="4" t="s">
        <v>9</v>
      </c>
      <c r="C42" s="5">
        <v>16855400</v>
      </c>
      <c r="D42" s="16" t="s">
        <v>201</v>
      </c>
      <c r="E42" s="6">
        <v>4040877</v>
      </c>
      <c r="F42" s="3"/>
      <c r="G42" s="4" t="s">
        <v>11</v>
      </c>
    </row>
    <row r="43" spans="1:8" x14ac:dyDescent="0.3">
      <c r="A43" s="4" t="s">
        <v>80</v>
      </c>
      <c r="D43" s="7"/>
      <c r="E43" s="6"/>
      <c r="F43" s="3"/>
    </row>
    <row r="44" spans="1:8" x14ac:dyDescent="0.3">
      <c r="A44" s="4" t="s">
        <v>81</v>
      </c>
      <c r="B44" s="4" t="s">
        <v>9</v>
      </c>
      <c r="C44" s="5">
        <v>2586800</v>
      </c>
      <c r="D44" s="3" t="s">
        <v>82</v>
      </c>
      <c r="E44" s="6">
        <v>2126351</v>
      </c>
      <c r="F44" s="3"/>
      <c r="G44" s="4" t="s">
        <v>11</v>
      </c>
    </row>
    <row r="45" spans="1:8" x14ac:dyDescent="0.3">
      <c r="A45" s="4" t="s">
        <v>83</v>
      </c>
      <c r="B45" s="4" t="s">
        <v>13</v>
      </c>
      <c r="C45" s="5">
        <v>2571750</v>
      </c>
      <c r="D45" s="16" t="s">
        <v>84</v>
      </c>
      <c r="E45" s="6">
        <v>1248140</v>
      </c>
      <c r="F45" s="16"/>
      <c r="G45" s="4" t="s">
        <v>15</v>
      </c>
      <c r="H45" s="4" t="s">
        <v>16</v>
      </c>
    </row>
    <row r="46" spans="1:8" x14ac:dyDescent="0.3">
      <c r="A46" s="4" t="s">
        <v>85</v>
      </c>
      <c r="B46" s="4" t="s">
        <v>13</v>
      </c>
      <c r="C46" s="5">
        <v>1593200</v>
      </c>
      <c r="D46" s="3" t="s">
        <v>86</v>
      </c>
      <c r="E46" s="6">
        <v>1243694</v>
      </c>
      <c r="F46" s="3"/>
      <c r="G46" s="4" t="s">
        <v>15</v>
      </c>
      <c r="H46" s="4" t="s">
        <v>16</v>
      </c>
    </row>
    <row r="47" spans="1:8" x14ac:dyDescent="0.3">
      <c r="A47" s="4" t="s">
        <v>87</v>
      </c>
      <c r="B47" s="4" t="s">
        <v>25</v>
      </c>
      <c r="C47" s="5">
        <v>1123400</v>
      </c>
      <c r="D47" s="3" t="s">
        <v>88</v>
      </c>
      <c r="E47" s="6"/>
      <c r="F47" s="3"/>
      <c r="G47" s="4" t="s">
        <v>15</v>
      </c>
      <c r="H47" s="4" t="s">
        <v>16</v>
      </c>
    </row>
    <row r="48" spans="1:8" x14ac:dyDescent="0.3">
      <c r="A48" s="4" t="s">
        <v>89</v>
      </c>
      <c r="B48" s="4" t="s">
        <v>13</v>
      </c>
      <c r="C48" s="5">
        <v>5806350</v>
      </c>
      <c r="D48" s="3" t="s">
        <v>90</v>
      </c>
      <c r="E48" s="6"/>
      <c r="F48" s="3"/>
      <c r="G48" s="4" t="s">
        <v>15</v>
      </c>
      <c r="H48" s="4" t="s">
        <v>16</v>
      </c>
    </row>
    <row r="49" spans="1:8" x14ac:dyDescent="0.3">
      <c r="A49" s="4" t="s">
        <v>91</v>
      </c>
      <c r="B49" s="4" t="s">
        <v>9</v>
      </c>
      <c r="C49" s="5">
        <v>4000000</v>
      </c>
      <c r="D49" s="7" t="s">
        <v>92</v>
      </c>
      <c r="E49" s="6">
        <v>603304</v>
      </c>
      <c r="F49" s="3"/>
      <c r="G49" s="4" t="s">
        <v>11</v>
      </c>
    </row>
    <row r="50" spans="1:8" x14ac:dyDescent="0.3">
      <c r="A50" s="4" t="s">
        <v>93</v>
      </c>
      <c r="B50" s="4" t="s">
        <v>13</v>
      </c>
      <c r="C50" s="5">
        <v>4517250</v>
      </c>
      <c r="D50" s="3" t="s">
        <v>94</v>
      </c>
      <c r="E50" s="6">
        <v>1250775</v>
      </c>
      <c r="F50" s="3" t="s">
        <v>231</v>
      </c>
      <c r="G50" s="4" t="s">
        <v>15</v>
      </c>
      <c r="H50" s="4" t="s">
        <v>16</v>
      </c>
    </row>
    <row r="51" spans="1:8" x14ac:dyDescent="0.3">
      <c r="A51" s="4" t="s">
        <v>95</v>
      </c>
      <c r="B51" s="4" t="s">
        <v>13</v>
      </c>
      <c r="C51" s="5">
        <v>2246500</v>
      </c>
      <c r="D51" s="7" t="s">
        <v>228</v>
      </c>
      <c r="E51" s="6"/>
      <c r="F51" s="3" t="s">
        <v>229</v>
      </c>
      <c r="G51" s="4" t="s">
        <v>15</v>
      </c>
      <c r="H51" s="4" t="s">
        <v>16</v>
      </c>
    </row>
    <row r="52" spans="1:8" x14ac:dyDescent="0.3">
      <c r="A52" s="4" t="s">
        <v>96</v>
      </c>
      <c r="B52" s="4" t="s">
        <v>13</v>
      </c>
      <c r="C52" s="5">
        <v>675200</v>
      </c>
      <c r="D52" s="7" t="s">
        <v>97</v>
      </c>
      <c r="E52" s="6">
        <v>1231676</v>
      </c>
      <c r="F52" s="3" t="s">
        <v>220</v>
      </c>
      <c r="G52" s="4" t="s">
        <v>15</v>
      </c>
      <c r="H52" s="4" t="s">
        <v>16</v>
      </c>
    </row>
    <row r="53" spans="1:8" x14ac:dyDescent="0.3">
      <c r="A53" s="4" t="s">
        <v>98</v>
      </c>
      <c r="B53" s="4" t="s">
        <v>9</v>
      </c>
      <c r="C53" s="5">
        <v>3131250</v>
      </c>
      <c r="D53" s="3" t="s">
        <v>99</v>
      </c>
      <c r="E53" s="6">
        <v>2126355</v>
      </c>
      <c r="F53" s="3"/>
      <c r="G53" s="4" t="s">
        <v>11</v>
      </c>
    </row>
    <row r="54" spans="1:8" x14ac:dyDescent="0.3">
      <c r="A54" s="4" t="s">
        <v>100</v>
      </c>
      <c r="B54" s="4" t="s">
        <v>9</v>
      </c>
      <c r="C54" s="5">
        <v>3583700</v>
      </c>
      <c r="D54" s="8" t="s">
        <v>101</v>
      </c>
      <c r="E54" s="9">
        <v>7670836</v>
      </c>
      <c r="F54" s="7"/>
      <c r="G54" s="7" t="s">
        <v>11</v>
      </c>
    </row>
    <row r="55" spans="1:8" x14ac:dyDescent="0.3">
      <c r="A55" s="4" t="s">
        <v>102</v>
      </c>
      <c r="B55" s="4" t="s">
        <v>9</v>
      </c>
      <c r="C55" s="5">
        <v>5814000</v>
      </c>
      <c r="D55" s="3" t="s">
        <v>189</v>
      </c>
      <c r="E55" s="6">
        <v>1223588</v>
      </c>
      <c r="F55" s="3"/>
      <c r="G55" s="4" t="s">
        <v>11</v>
      </c>
    </row>
    <row r="56" spans="1:8" x14ac:dyDescent="0.3">
      <c r="A56" s="4" t="s">
        <v>104</v>
      </c>
      <c r="B56" s="4" t="s">
        <v>9</v>
      </c>
      <c r="C56" s="5">
        <v>4735900</v>
      </c>
      <c r="D56" s="7" t="s">
        <v>105</v>
      </c>
      <c r="E56" s="6">
        <v>794837</v>
      </c>
      <c r="F56" s="3"/>
      <c r="G56" s="4" t="s">
        <v>11</v>
      </c>
    </row>
    <row r="57" spans="1:8" x14ac:dyDescent="0.3">
      <c r="A57" s="4" t="s">
        <v>106</v>
      </c>
      <c r="B57" s="4" t="s">
        <v>13</v>
      </c>
      <c r="C57" s="5">
        <v>7341500</v>
      </c>
      <c r="D57" s="3" t="s">
        <v>107</v>
      </c>
      <c r="E57" s="6">
        <v>1231160</v>
      </c>
      <c r="F57" s="3"/>
      <c r="G57" s="4" t="s">
        <v>15</v>
      </c>
      <c r="H57" s="4" t="s">
        <v>16</v>
      </c>
    </row>
    <row r="58" spans="1:8" x14ac:dyDescent="0.3">
      <c r="A58" s="4" t="s">
        <v>108</v>
      </c>
      <c r="B58" s="4" t="s">
        <v>13</v>
      </c>
      <c r="C58" s="5">
        <v>5566550</v>
      </c>
      <c r="D58" s="7" t="s">
        <v>135</v>
      </c>
      <c r="E58" s="6">
        <v>22889959</v>
      </c>
      <c r="F58" s="3"/>
      <c r="G58" s="4" t="s">
        <v>15</v>
      </c>
      <c r="H58" s="4" t="s">
        <v>16</v>
      </c>
    </row>
    <row r="59" spans="1:8" x14ac:dyDescent="0.3">
      <c r="A59" s="4" t="s">
        <v>109</v>
      </c>
      <c r="B59" s="4" t="s">
        <v>13</v>
      </c>
      <c r="C59" s="5">
        <v>5905300</v>
      </c>
      <c r="D59" s="3" t="s">
        <v>213</v>
      </c>
      <c r="E59" s="6"/>
      <c r="F59" s="3"/>
      <c r="G59" s="4" t="s">
        <v>15</v>
      </c>
      <c r="H59" s="4" t="s">
        <v>16</v>
      </c>
    </row>
    <row r="60" spans="1:8" x14ac:dyDescent="0.3">
      <c r="A60" s="4" t="s">
        <v>111</v>
      </c>
      <c r="B60" s="4" t="s">
        <v>13</v>
      </c>
      <c r="C60" s="5">
        <v>4832700</v>
      </c>
      <c r="D60" s="16" t="s">
        <v>82</v>
      </c>
      <c r="E60" s="15" t="s">
        <v>218</v>
      </c>
      <c r="F60" s="16" t="s">
        <v>219</v>
      </c>
      <c r="G60" s="4" t="s">
        <v>15</v>
      </c>
      <c r="H60" s="4" t="s">
        <v>27</v>
      </c>
    </row>
    <row r="61" spans="1:8" x14ac:dyDescent="0.3">
      <c r="A61" s="4" t="s">
        <v>113</v>
      </c>
      <c r="B61" s="4" t="s">
        <v>25</v>
      </c>
      <c r="C61" s="5">
        <v>13921170.5</v>
      </c>
      <c r="D61" s="3" t="s">
        <v>92</v>
      </c>
      <c r="E61" s="15" t="s">
        <v>222</v>
      </c>
      <c r="F61" s="16" t="s">
        <v>223</v>
      </c>
      <c r="G61" s="4" t="s">
        <v>15</v>
      </c>
      <c r="H61" s="4" t="s">
        <v>27</v>
      </c>
    </row>
    <row r="62" spans="1:8" s="10" customFormat="1" ht="15" thickBot="1" x14ac:dyDescent="0.35">
      <c r="A62" s="10" t="s">
        <v>114</v>
      </c>
      <c r="B62" s="4"/>
      <c r="C62" s="11">
        <f>SUM(C2:C61)</f>
        <v>221327625.5</v>
      </c>
      <c r="D62" s="4"/>
    </row>
    <row r="63" spans="1:8" ht="15" thickTop="1" x14ac:dyDescent="0.3"/>
    <row r="68" spans="4:4" x14ac:dyDescent="0.3">
      <c r="D68" s="12"/>
    </row>
  </sheetData>
  <conditionalFormatting sqref="F14:F15">
    <cfRule type="containsText" dxfId="791" priority="63" operator="containsText" text="No">
      <formula>NOT(ISERROR(SEARCH("No",F14)))</formula>
    </cfRule>
    <cfRule type="containsText" dxfId="790" priority="64" operator="containsText" text="Yes">
      <formula>NOT(ISERROR(SEARCH("Yes",F14)))</formula>
    </cfRule>
  </conditionalFormatting>
  <conditionalFormatting sqref="G1">
    <cfRule type="containsText" dxfId="789" priority="79" operator="containsText" text="No">
      <formula>NOT(ISERROR(SEARCH("No",G1)))</formula>
    </cfRule>
    <cfRule type="containsText" dxfId="788" priority="80" operator="containsText" text="Yes">
      <formula>NOT(ISERROR(SEARCH("Yes",G1)))</formula>
    </cfRule>
  </conditionalFormatting>
  <conditionalFormatting sqref="G16 G19">
    <cfRule type="containsText" dxfId="787" priority="69" operator="containsText" text="No">
      <formula>NOT(ISERROR(SEARCH("No",G16)))</formula>
    </cfRule>
    <cfRule type="containsText" dxfId="786" priority="70" operator="containsText" text="Yes">
      <formula>NOT(ISERROR(SEARCH("Yes",G16)))</formula>
    </cfRule>
  </conditionalFormatting>
  <conditionalFormatting sqref="G30">
    <cfRule type="containsText" dxfId="785" priority="67" operator="containsText" text="No">
      <formula>NOT(ISERROR(SEARCH("No",G30)))</formula>
    </cfRule>
    <cfRule type="containsText" dxfId="784" priority="68" operator="containsText" text="Yes">
      <formula>NOT(ISERROR(SEARCH("Yes",G30)))</formula>
    </cfRule>
  </conditionalFormatting>
  <conditionalFormatting sqref="G41">
    <cfRule type="containsText" dxfId="783" priority="83" operator="containsText" text="No">
      <formula>NOT(ISERROR(SEARCH("No",G41)))</formula>
    </cfRule>
    <cfRule type="containsText" dxfId="782" priority="84" operator="containsText" text="Yes">
      <formula>NOT(ISERROR(SEARCH("Yes",G41)))</formula>
    </cfRule>
  </conditionalFormatting>
  <conditionalFormatting sqref="G44">
    <cfRule type="containsText" dxfId="781" priority="77" operator="containsText" text="No">
      <formula>NOT(ISERROR(SEARCH("No",G44)))</formula>
    </cfRule>
    <cfRule type="containsText" dxfId="780" priority="78" operator="containsText" text="Yes">
      <formula>NOT(ISERROR(SEARCH("Yes",G44)))</formula>
    </cfRule>
  </conditionalFormatting>
  <conditionalFormatting sqref="G53">
    <cfRule type="containsText" dxfId="779" priority="75" operator="containsText" text="No">
      <formula>NOT(ISERROR(SEARCH("No",G53)))</formula>
    </cfRule>
    <cfRule type="containsText" dxfId="778" priority="76" operator="containsText" text="Yes">
      <formula>NOT(ISERROR(SEARCH("Yes",G53)))</formula>
    </cfRule>
  </conditionalFormatting>
  <conditionalFormatting sqref="G62:G1048576">
    <cfRule type="containsText" dxfId="777" priority="81" operator="containsText" text="No">
      <formula>NOT(ISERROR(SEARCH("No",G62)))</formula>
    </cfRule>
    <cfRule type="containsText" dxfId="776" priority="82" operator="containsText" text="Yes">
      <formula>NOT(ISERROR(SEARCH("Yes",G62)))</formula>
    </cfRule>
  </conditionalFormatting>
  <conditionalFormatting sqref="G2:H7">
    <cfRule type="containsText" dxfId="775" priority="5" operator="containsText" text="No">
      <formula>NOT(ISERROR(SEARCH("No",G2)))</formula>
    </cfRule>
    <cfRule type="containsText" dxfId="774" priority="6" operator="containsText" text="Yes">
      <formula>NOT(ISERROR(SEARCH("Yes",G2)))</formula>
    </cfRule>
  </conditionalFormatting>
  <conditionalFormatting sqref="G20:H29">
    <cfRule type="containsText" dxfId="773" priority="15" operator="containsText" text="No">
      <formula>NOT(ISERROR(SEARCH("No",G20)))</formula>
    </cfRule>
    <cfRule type="containsText" dxfId="772" priority="16" operator="containsText" text="Yes">
      <formula>NOT(ISERROR(SEARCH("Yes",G20)))</formula>
    </cfRule>
  </conditionalFormatting>
  <conditionalFormatting sqref="G31:H40">
    <cfRule type="containsText" dxfId="771" priority="19" operator="containsText" text="No">
      <formula>NOT(ISERROR(SEARCH("No",G31)))</formula>
    </cfRule>
    <cfRule type="containsText" dxfId="770" priority="20" operator="containsText" text="Yes">
      <formula>NOT(ISERROR(SEARCH("Yes",G31)))</formula>
    </cfRule>
  </conditionalFormatting>
  <conditionalFormatting sqref="G42:H43">
    <cfRule type="containsText" dxfId="769" priority="59" operator="containsText" text="No">
      <formula>NOT(ISERROR(SEARCH("No",G42)))</formula>
    </cfRule>
    <cfRule type="containsText" dxfId="768" priority="60" operator="containsText" text="Yes">
      <formula>NOT(ISERROR(SEARCH("Yes",G42)))</formula>
    </cfRule>
  </conditionalFormatting>
  <conditionalFormatting sqref="G45:H52">
    <cfRule type="containsText" dxfId="767" priority="9" operator="containsText" text="No">
      <formula>NOT(ISERROR(SEARCH("No",G45)))</formula>
    </cfRule>
    <cfRule type="containsText" dxfId="766" priority="10" operator="containsText" text="Yes">
      <formula>NOT(ISERROR(SEARCH("Yes",G45)))</formula>
    </cfRule>
  </conditionalFormatting>
  <conditionalFormatting sqref="G54:H61">
    <cfRule type="containsText" dxfId="765" priority="3" operator="containsText" text="No">
      <formula>NOT(ISERROR(SEARCH("No",G54)))</formula>
    </cfRule>
    <cfRule type="containsText" dxfId="764" priority="4" operator="containsText" text="Yes">
      <formula>NOT(ISERROR(SEARCH("Yes",G54)))</formula>
    </cfRule>
  </conditionalFormatting>
  <conditionalFormatting sqref="G8:I15">
    <cfRule type="containsText" dxfId="763" priority="1" operator="containsText" text="No">
      <formula>NOT(ISERROR(SEARCH("No",G8)))</formula>
    </cfRule>
    <cfRule type="containsText" dxfId="762" priority="2" operator="containsText" text="Yes">
      <formula>NOT(ISERROR(SEARCH("Yes",G8)))</formula>
    </cfRule>
  </conditionalFormatting>
  <conditionalFormatting sqref="G17:I18">
    <cfRule type="containsText" dxfId="761" priority="27" operator="containsText" text="No">
      <formula>NOT(ISERROR(SEARCH("No",G17)))</formula>
    </cfRule>
    <cfRule type="containsText" dxfId="760" priority="28" operator="containsText" text="Yes">
      <formula>NOT(ISERROR(SEARCH("Yes",G17)))</formula>
    </cfRule>
  </conditionalFormatting>
  <conditionalFormatting sqref="H29">
    <cfRule type="containsText" dxfId="759" priority="71" operator="containsText" text="No">
      <formula>NOT(ISERROR(SEARCH("No",H29)))</formula>
    </cfRule>
    <cfRule type="containsText" dxfId="758" priority="72" operator="containsText" text="Yes">
      <formula>NOT(ISERROR(SEARCH("Yes",H29)))</formula>
    </cfRule>
  </conditionalFormatting>
  <conditionalFormatting sqref="I20">
    <cfRule type="containsText" dxfId="757" priority="73" operator="containsText" text="No">
      <formula>NOT(ISERROR(SEARCH("No",I20)))</formula>
    </cfRule>
    <cfRule type="containsText" dxfId="756" priority="74" operator="containsText" text="Yes">
      <formula>NOT(ISERROR(SEARCH("Yes",I20)))</formula>
    </cfRule>
  </conditionalFormatting>
  <conditionalFormatting sqref="I20:I28 I31">
    <cfRule type="containsText" dxfId="755" priority="65" operator="containsText" text="No">
      <formula>NOT(ISERROR(SEARCH("No",I20)))</formula>
    </cfRule>
    <cfRule type="containsText" dxfId="754" priority="66" operator="containsText" text="Yes">
      <formula>NOT(ISERROR(SEARCH("Yes",I20)))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8"/>
  <sheetViews>
    <sheetView topLeftCell="A38" workbookViewId="0">
      <selection activeCell="E64" sqref="E64"/>
    </sheetView>
  </sheetViews>
  <sheetFormatPr defaultColWidth="10" defaultRowHeight="14.4" x14ac:dyDescent="0.3"/>
  <cols>
    <col min="1" max="1" width="17.5546875" style="4" bestFit="1" customWidth="1"/>
    <col min="2" max="2" width="12.33203125" style="4" bestFit="1" customWidth="1"/>
    <col min="3" max="3" width="18.5546875" style="5" bestFit="1" customWidth="1"/>
    <col min="4" max="4" width="23.88671875" style="4" bestFit="1" customWidth="1"/>
    <col min="5" max="5" width="16.6640625" style="4" bestFit="1" customWidth="1"/>
    <col min="6" max="6" width="14.6640625" style="4" bestFit="1" customWidth="1"/>
    <col min="7" max="7" width="14.6640625" style="4" customWidth="1"/>
    <col min="8" max="8" width="12.109375" style="4" bestFit="1" customWidth="1"/>
    <col min="9" max="9" width="10.33203125" style="4" bestFit="1" customWidth="1"/>
    <col min="10" max="16384" width="10" style="4"/>
  </cols>
  <sheetData>
    <row r="1" spans="1:9" s="1" customForma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s="1" customFormat="1" x14ac:dyDescent="0.3">
      <c r="A2" s="3" t="s">
        <v>8</v>
      </c>
      <c r="B2" s="4" t="s">
        <v>9</v>
      </c>
      <c r="C2" s="5">
        <v>2699901</v>
      </c>
      <c r="D2" s="3" t="s">
        <v>10</v>
      </c>
      <c r="E2" s="6">
        <v>360923</v>
      </c>
      <c r="F2" s="3"/>
      <c r="G2" s="4" t="s">
        <v>11</v>
      </c>
      <c r="H2" s="4"/>
      <c r="I2" s="16"/>
    </row>
    <row r="3" spans="1:9" x14ac:dyDescent="0.3">
      <c r="A3" s="4" t="s">
        <v>12</v>
      </c>
      <c r="B3" s="4" t="s">
        <v>13</v>
      </c>
      <c r="C3" s="5">
        <v>1611650</v>
      </c>
      <c r="D3" s="3" t="s">
        <v>14</v>
      </c>
      <c r="E3" s="6">
        <v>165110</v>
      </c>
      <c r="F3" s="16" t="s">
        <v>254</v>
      </c>
      <c r="G3" s="4" t="s">
        <v>15</v>
      </c>
      <c r="H3" s="4" t="s">
        <v>16</v>
      </c>
    </row>
    <row r="4" spans="1:9" x14ac:dyDescent="0.3">
      <c r="A4" s="4" t="s">
        <v>17</v>
      </c>
      <c r="D4" s="16"/>
      <c r="E4" s="6"/>
      <c r="F4" s="3"/>
    </row>
    <row r="5" spans="1:9" x14ac:dyDescent="0.3">
      <c r="A5" s="4" t="s">
        <v>18</v>
      </c>
      <c r="B5" s="4" t="s">
        <v>13</v>
      </c>
      <c r="C5" s="5">
        <v>1380350</v>
      </c>
      <c r="D5" s="3" t="s">
        <v>19</v>
      </c>
      <c r="E5" s="6">
        <v>23480815</v>
      </c>
      <c r="F5" s="3"/>
      <c r="G5" s="4" t="s">
        <v>15</v>
      </c>
      <c r="H5" s="4" t="s">
        <v>16</v>
      </c>
    </row>
    <row r="6" spans="1:9" x14ac:dyDescent="0.3">
      <c r="A6" s="4" t="s">
        <v>20</v>
      </c>
      <c r="B6" s="4" t="s">
        <v>13</v>
      </c>
      <c r="C6" s="5">
        <v>842120</v>
      </c>
      <c r="D6" s="3" t="s">
        <v>21</v>
      </c>
      <c r="E6" s="6">
        <v>25461797</v>
      </c>
      <c r="F6" s="3"/>
      <c r="G6" s="4" t="s">
        <v>15</v>
      </c>
      <c r="H6" s="4" t="s">
        <v>16</v>
      </c>
    </row>
    <row r="7" spans="1:9" x14ac:dyDescent="0.3">
      <c r="A7" s="4" t="s">
        <v>22</v>
      </c>
      <c r="B7" s="4" t="s">
        <v>13</v>
      </c>
      <c r="C7" s="5">
        <v>1393800</v>
      </c>
      <c r="D7" s="3" t="s">
        <v>23</v>
      </c>
      <c r="E7" s="6">
        <v>22698797</v>
      </c>
      <c r="F7" s="3"/>
      <c r="G7" s="4" t="s">
        <v>15</v>
      </c>
      <c r="H7" s="4" t="s">
        <v>16</v>
      </c>
    </row>
    <row r="8" spans="1:9" x14ac:dyDescent="0.3">
      <c r="A8" s="4" t="s">
        <v>24</v>
      </c>
      <c r="B8" s="4" t="s">
        <v>25</v>
      </c>
      <c r="C8" s="5">
        <v>1286120</v>
      </c>
      <c r="D8" s="16" t="s">
        <v>26</v>
      </c>
      <c r="E8" s="6"/>
      <c r="F8" s="3" t="s">
        <v>241</v>
      </c>
      <c r="G8" s="4" t="s">
        <v>15</v>
      </c>
      <c r="H8" s="4" t="s">
        <v>27</v>
      </c>
    </row>
    <row r="9" spans="1:9" x14ac:dyDescent="0.3">
      <c r="A9" s="4" t="s">
        <v>28</v>
      </c>
      <c r="B9" s="4" t="s">
        <v>13</v>
      </c>
      <c r="C9" s="5">
        <v>859000</v>
      </c>
      <c r="D9" s="3" t="s">
        <v>29</v>
      </c>
      <c r="E9" s="6">
        <v>23480802</v>
      </c>
      <c r="F9" s="3"/>
      <c r="G9" s="4" t="s">
        <v>15</v>
      </c>
      <c r="H9" s="4" t="s">
        <v>16</v>
      </c>
    </row>
    <row r="10" spans="1:9" x14ac:dyDescent="0.3">
      <c r="A10" s="4" t="s">
        <v>30</v>
      </c>
      <c r="B10" s="4" t="s">
        <v>25</v>
      </c>
      <c r="C10" s="5">
        <v>5719400</v>
      </c>
      <c r="D10" s="3" t="s">
        <v>136</v>
      </c>
      <c r="E10" s="6"/>
      <c r="F10" s="16" t="s">
        <v>251</v>
      </c>
      <c r="G10" s="4" t="s">
        <v>15</v>
      </c>
      <c r="H10" s="4" t="s">
        <v>27</v>
      </c>
    </row>
    <row r="11" spans="1:9" x14ac:dyDescent="0.3">
      <c r="A11" s="4" t="s">
        <v>31</v>
      </c>
      <c r="D11" s="3"/>
      <c r="E11" s="6"/>
      <c r="F11" s="3"/>
    </row>
    <row r="12" spans="1:9" x14ac:dyDescent="0.3">
      <c r="A12" s="4" t="s">
        <v>32</v>
      </c>
      <c r="D12" s="16"/>
      <c r="E12" s="6"/>
      <c r="F12" s="3"/>
    </row>
    <row r="13" spans="1:9" x14ac:dyDescent="0.3">
      <c r="A13" s="4" t="s">
        <v>33</v>
      </c>
      <c r="B13" s="4" t="s">
        <v>13</v>
      </c>
      <c r="C13" s="5">
        <v>2165800</v>
      </c>
      <c r="D13" s="3" t="s">
        <v>34</v>
      </c>
      <c r="E13" s="6">
        <v>132362</v>
      </c>
      <c r="F13" s="3" t="s">
        <v>238</v>
      </c>
      <c r="G13" s="4" t="s">
        <v>15</v>
      </c>
      <c r="H13" s="4" t="s">
        <v>16</v>
      </c>
    </row>
    <row r="14" spans="1:9" x14ac:dyDescent="0.3">
      <c r="A14" s="4" t="s">
        <v>35</v>
      </c>
      <c r="B14" s="4" t="s">
        <v>13</v>
      </c>
      <c r="C14" s="5">
        <v>474000</v>
      </c>
      <c r="D14" s="3" t="s">
        <v>36</v>
      </c>
      <c r="E14" s="6">
        <v>143806</v>
      </c>
      <c r="F14" s="4" t="s">
        <v>246</v>
      </c>
      <c r="G14" s="4" t="s">
        <v>15</v>
      </c>
      <c r="H14" s="4" t="s">
        <v>16</v>
      </c>
    </row>
    <row r="15" spans="1:9" x14ac:dyDescent="0.3">
      <c r="A15" s="4" t="s">
        <v>37</v>
      </c>
      <c r="B15" s="4" t="s">
        <v>13</v>
      </c>
      <c r="C15" s="5">
        <v>1766020</v>
      </c>
      <c r="D15" s="3" t="s">
        <v>38</v>
      </c>
      <c r="E15" s="6">
        <v>132340</v>
      </c>
      <c r="F15" s="4" t="s">
        <v>237</v>
      </c>
      <c r="G15" s="4" t="s">
        <v>15</v>
      </c>
      <c r="H15" s="4" t="s">
        <v>16</v>
      </c>
    </row>
    <row r="16" spans="1:9" x14ac:dyDescent="0.3">
      <c r="A16" s="4" t="s">
        <v>39</v>
      </c>
      <c r="D16" s="3"/>
      <c r="E16" s="6"/>
      <c r="F16" s="3"/>
    </row>
    <row r="17" spans="1:9" x14ac:dyDescent="0.3">
      <c r="A17" s="4" t="s">
        <v>40</v>
      </c>
      <c r="B17" s="4" t="s">
        <v>13</v>
      </c>
      <c r="C17" s="5">
        <v>900150</v>
      </c>
      <c r="D17" s="3" t="s">
        <v>41</v>
      </c>
      <c r="E17" s="6">
        <v>24596110</v>
      </c>
      <c r="F17" s="3"/>
      <c r="G17" s="4" t="s">
        <v>15</v>
      </c>
      <c r="H17" s="4" t="s">
        <v>16</v>
      </c>
    </row>
    <row r="18" spans="1:9" x14ac:dyDescent="0.3">
      <c r="A18" s="4" t="s">
        <v>42</v>
      </c>
      <c r="B18" s="4" t="s">
        <v>13</v>
      </c>
      <c r="C18" s="5">
        <v>1477100</v>
      </c>
      <c r="D18" s="3" t="s">
        <v>128</v>
      </c>
      <c r="E18" s="6"/>
      <c r="F18" s="3"/>
      <c r="G18" s="4" t="s">
        <v>15</v>
      </c>
      <c r="H18" s="4" t="s">
        <v>16</v>
      </c>
    </row>
    <row r="19" spans="1:9" x14ac:dyDescent="0.3">
      <c r="A19" s="4" t="s">
        <v>43</v>
      </c>
      <c r="D19" s="3"/>
      <c r="E19" s="6"/>
      <c r="F19" s="3"/>
    </row>
    <row r="20" spans="1:9" x14ac:dyDescent="0.3">
      <c r="A20" s="4" t="s">
        <v>44</v>
      </c>
      <c r="B20" s="4" t="s">
        <v>25</v>
      </c>
      <c r="C20" s="5">
        <v>3230800</v>
      </c>
      <c r="D20" s="3" t="s">
        <v>45</v>
      </c>
      <c r="E20" s="15" t="s">
        <v>247</v>
      </c>
      <c r="F20" s="16" t="s">
        <v>248</v>
      </c>
      <c r="G20" s="4" t="s">
        <v>15</v>
      </c>
      <c r="H20" s="4" t="s">
        <v>27</v>
      </c>
      <c r="I20" s="18"/>
    </row>
    <row r="21" spans="1:9" x14ac:dyDescent="0.3">
      <c r="A21" s="4" t="s">
        <v>46</v>
      </c>
      <c r="B21" s="4" t="s">
        <v>25</v>
      </c>
      <c r="C21" s="5">
        <v>1427950</v>
      </c>
      <c r="D21" s="3" t="s">
        <v>47</v>
      </c>
      <c r="E21" s="6" t="s">
        <v>255</v>
      </c>
      <c r="F21" s="3" t="s">
        <v>165</v>
      </c>
      <c r="G21" s="4" t="s">
        <v>15</v>
      </c>
      <c r="H21" s="4" t="s">
        <v>27</v>
      </c>
    </row>
    <row r="22" spans="1:9" x14ac:dyDescent="0.3">
      <c r="A22" s="4" t="s">
        <v>49</v>
      </c>
      <c r="B22" s="4" t="s">
        <v>13</v>
      </c>
      <c r="C22" s="5">
        <v>1873700</v>
      </c>
      <c r="D22" s="3" t="s">
        <v>50</v>
      </c>
      <c r="E22" s="6">
        <v>160295</v>
      </c>
      <c r="F22" s="3" t="s">
        <v>252</v>
      </c>
      <c r="G22" s="4" t="s">
        <v>15</v>
      </c>
      <c r="H22" s="4" t="s">
        <v>16</v>
      </c>
    </row>
    <row r="23" spans="1:9" x14ac:dyDescent="0.3">
      <c r="A23" s="4" t="s">
        <v>51</v>
      </c>
      <c r="B23" s="4" t="s">
        <v>13</v>
      </c>
      <c r="C23" s="5">
        <v>2400000</v>
      </c>
      <c r="D23" s="5" t="s">
        <v>207</v>
      </c>
      <c r="E23" s="6"/>
      <c r="F23" s="3" t="s">
        <v>235</v>
      </c>
      <c r="G23" s="4" t="s">
        <v>15</v>
      </c>
      <c r="H23" s="4" t="s">
        <v>16</v>
      </c>
    </row>
    <row r="24" spans="1:9" x14ac:dyDescent="0.3">
      <c r="A24" s="4" t="s">
        <v>52</v>
      </c>
      <c r="D24" s="3"/>
      <c r="E24" s="6"/>
      <c r="F24" s="3"/>
    </row>
    <row r="25" spans="1:9" x14ac:dyDescent="0.3">
      <c r="A25" s="4" t="s">
        <v>53</v>
      </c>
      <c r="D25" s="3"/>
      <c r="E25" s="6"/>
      <c r="F25" s="3"/>
    </row>
    <row r="26" spans="1:9" x14ac:dyDescent="0.3">
      <c r="A26" s="4" t="s">
        <v>55</v>
      </c>
      <c r="B26" s="4" t="s">
        <v>13</v>
      </c>
      <c r="C26" s="5">
        <v>1011500</v>
      </c>
      <c r="D26" s="3" t="s">
        <v>56</v>
      </c>
      <c r="E26" s="6">
        <v>133425</v>
      </c>
      <c r="F26" s="3" t="s">
        <v>240</v>
      </c>
      <c r="G26" s="4" t="s">
        <v>15</v>
      </c>
      <c r="H26" s="4" t="s">
        <v>16</v>
      </c>
    </row>
    <row r="27" spans="1:9" x14ac:dyDescent="0.3">
      <c r="A27" s="4" t="s">
        <v>57</v>
      </c>
      <c r="B27" s="4" t="s">
        <v>13</v>
      </c>
      <c r="C27" s="5">
        <v>695815</v>
      </c>
      <c r="D27" s="3" t="s">
        <v>58</v>
      </c>
      <c r="E27" s="6"/>
      <c r="F27" s="3"/>
      <c r="G27" s="4" t="s">
        <v>15</v>
      </c>
      <c r="H27" s="4" t="s">
        <v>16</v>
      </c>
    </row>
    <row r="28" spans="1:9" x14ac:dyDescent="0.3">
      <c r="A28" s="4" t="s">
        <v>59</v>
      </c>
      <c r="D28" s="3"/>
      <c r="E28" s="6"/>
      <c r="F28" s="3"/>
      <c r="G28" s="7"/>
      <c r="H28" s="5"/>
    </row>
    <row r="29" spans="1:9" x14ac:dyDescent="0.3">
      <c r="A29" s="4" t="s">
        <v>60</v>
      </c>
      <c r="D29" s="3"/>
      <c r="E29" s="6"/>
      <c r="F29" s="3"/>
    </row>
    <row r="30" spans="1:9" x14ac:dyDescent="0.3">
      <c r="A30" s="4" t="s">
        <v>61</v>
      </c>
      <c r="B30" s="4" t="s">
        <v>13</v>
      </c>
      <c r="C30" s="5">
        <v>3878050</v>
      </c>
      <c r="D30" s="3" t="s">
        <v>243</v>
      </c>
      <c r="E30" s="6">
        <v>23131322</v>
      </c>
      <c r="F30" s="3"/>
      <c r="G30" s="4" t="s">
        <v>15</v>
      </c>
      <c r="H30" s="4" t="s">
        <v>16</v>
      </c>
    </row>
    <row r="31" spans="1:9" x14ac:dyDescent="0.3">
      <c r="A31" s="4" t="s">
        <v>63</v>
      </c>
      <c r="D31" s="3"/>
      <c r="E31" s="6"/>
      <c r="F31" s="3"/>
    </row>
    <row r="32" spans="1:9" x14ac:dyDescent="0.3">
      <c r="A32" s="4" t="s">
        <v>64</v>
      </c>
      <c r="B32" s="4" t="s">
        <v>13</v>
      </c>
      <c r="C32" s="5">
        <v>686660</v>
      </c>
      <c r="D32" s="3" t="s">
        <v>168</v>
      </c>
      <c r="E32" s="6">
        <v>23480803</v>
      </c>
      <c r="F32" s="3"/>
      <c r="G32" s="4" t="s">
        <v>15</v>
      </c>
      <c r="H32" s="4" t="s">
        <v>16</v>
      </c>
    </row>
    <row r="33" spans="1:8" x14ac:dyDescent="0.3">
      <c r="A33" s="4" t="s">
        <v>65</v>
      </c>
      <c r="D33" s="7"/>
      <c r="E33" s="6"/>
      <c r="F33" s="3"/>
    </row>
    <row r="34" spans="1:8" x14ac:dyDescent="0.3">
      <c r="A34" s="4" t="s">
        <v>67</v>
      </c>
      <c r="B34" s="4" t="s">
        <v>13</v>
      </c>
      <c r="C34" s="5">
        <v>1652750</v>
      </c>
      <c r="D34" s="3" t="s">
        <v>68</v>
      </c>
      <c r="E34" s="6">
        <v>23487299</v>
      </c>
      <c r="F34" s="3"/>
      <c r="G34" s="4" t="s">
        <v>15</v>
      </c>
      <c r="H34" s="4" t="s">
        <v>16</v>
      </c>
    </row>
    <row r="35" spans="1:8" x14ac:dyDescent="0.3">
      <c r="A35" s="4" t="s">
        <v>69</v>
      </c>
      <c r="D35" s="3"/>
      <c r="E35" s="6"/>
      <c r="F35" s="3"/>
    </row>
    <row r="36" spans="1:8" x14ac:dyDescent="0.3">
      <c r="A36" s="4" t="s">
        <v>71</v>
      </c>
      <c r="B36" s="4" t="s">
        <v>25</v>
      </c>
      <c r="C36" s="5">
        <v>3772800</v>
      </c>
      <c r="D36" s="7" t="s">
        <v>72</v>
      </c>
      <c r="E36" s="6">
        <v>197957</v>
      </c>
      <c r="F36" s="3"/>
      <c r="G36" s="17" t="s">
        <v>15</v>
      </c>
      <c r="H36" s="4" t="s">
        <v>27</v>
      </c>
    </row>
    <row r="37" spans="1:8" x14ac:dyDescent="0.3">
      <c r="A37" s="4" t="s">
        <v>73</v>
      </c>
      <c r="B37" s="4" t="s">
        <v>13</v>
      </c>
      <c r="C37" s="5">
        <v>523200</v>
      </c>
      <c r="D37" s="3" t="s">
        <v>74</v>
      </c>
      <c r="E37" s="6">
        <v>143423</v>
      </c>
      <c r="F37" s="3" t="s">
        <v>242</v>
      </c>
      <c r="G37" s="4" t="s">
        <v>15</v>
      </c>
      <c r="H37" s="4" t="s">
        <v>16</v>
      </c>
    </row>
    <row r="38" spans="1:8" x14ac:dyDescent="0.3">
      <c r="A38" s="4" t="s">
        <v>75</v>
      </c>
      <c r="D38" s="3"/>
      <c r="E38" s="6"/>
      <c r="F38" s="3"/>
    </row>
    <row r="39" spans="1:8" x14ac:dyDescent="0.3">
      <c r="A39" s="4" t="s">
        <v>76</v>
      </c>
      <c r="B39" s="4" t="s">
        <v>25</v>
      </c>
      <c r="C39" s="5">
        <v>1104450</v>
      </c>
      <c r="D39" s="3" t="s">
        <v>77</v>
      </c>
      <c r="E39" s="6">
        <v>1999408</v>
      </c>
      <c r="F39" s="3"/>
      <c r="G39" s="4" t="s">
        <v>15</v>
      </c>
      <c r="H39" s="4" t="s">
        <v>27</v>
      </c>
    </row>
    <row r="40" spans="1:8" x14ac:dyDescent="0.3">
      <c r="A40" s="4" t="s">
        <v>78</v>
      </c>
      <c r="D40" s="3"/>
      <c r="E40" s="6"/>
      <c r="F40" s="3"/>
    </row>
    <row r="41" spans="1:8" x14ac:dyDescent="0.3">
      <c r="A41" s="4" t="s">
        <v>79</v>
      </c>
      <c r="B41" s="4" t="s">
        <v>9</v>
      </c>
      <c r="C41" s="5">
        <v>7700000</v>
      </c>
      <c r="D41" s="16" t="s">
        <v>201</v>
      </c>
      <c r="E41" s="6">
        <v>4741001</v>
      </c>
      <c r="F41" s="3"/>
      <c r="G41" s="4" t="s">
        <v>11</v>
      </c>
    </row>
    <row r="42" spans="1:8" x14ac:dyDescent="0.3">
      <c r="A42" s="4" t="s">
        <v>80</v>
      </c>
      <c r="B42" s="4" t="s">
        <v>13</v>
      </c>
      <c r="C42" s="5">
        <v>577700</v>
      </c>
      <c r="D42" s="7" t="s">
        <v>239</v>
      </c>
      <c r="E42" s="6">
        <v>23480801</v>
      </c>
      <c r="F42" s="3"/>
      <c r="G42" s="4" t="s">
        <v>15</v>
      </c>
      <c r="H42" s="4" t="s">
        <v>16</v>
      </c>
    </row>
    <row r="43" spans="1:8" x14ac:dyDescent="0.3">
      <c r="A43" s="4" t="s">
        <v>81</v>
      </c>
      <c r="B43" s="4" t="s">
        <v>9</v>
      </c>
      <c r="C43" s="5">
        <v>763450</v>
      </c>
      <c r="D43" s="3" t="s">
        <v>82</v>
      </c>
      <c r="E43" s="6">
        <v>2126343</v>
      </c>
      <c r="F43" s="3"/>
      <c r="G43" s="4" t="s">
        <v>11</v>
      </c>
    </row>
    <row r="44" spans="1:8" x14ac:dyDescent="0.3">
      <c r="A44" s="4" t="s">
        <v>83</v>
      </c>
      <c r="D44" s="16"/>
      <c r="E44" s="6"/>
      <c r="F44" s="16"/>
    </row>
    <row r="45" spans="1:8" x14ac:dyDescent="0.3">
      <c r="A45" s="4" t="s">
        <v>85</v>
      </c>
      <c r="B45" s="4" t="s">
        <v>13</v>
      </c>
      <c r="C45" s="5">
        <v>4592400</v>
      </c>
      <c r="D45" s="3" t="s">
        <v>86</v>
      </c>
      <c r="E45" s="6">
        <v>143635</v>
      </c>
      <c r="F45" s="3" t="s">
        <v>242</v>
      </c>
      <c r="G45" s="4" t="s">
        <v>15</v>
      </c>
      <c r="H45" s="4" t="s">
        <v>16</v>
      </c>
    </row>
    <row r="46" spans="1:8" x14ac:dyDescent="0.3">
      <c r="A46" s="4" t="s">
        <v>87</v>
      </c>
      <c r="B46" s="4" t="s">
        <v>25</v>
      </c>
      <c r="C46" s="5">
        <v>2148400</v>
      </c>
      <c r="D46" s="3" t="s">
        <v>88</v>
      </c>
      <c r="E46" s="6"/>
      <c r="F46" s="3"/>
      <c r="G46" s="4" t="s">
        <v>15</v>
      </c>
      <c r="H46" s="4" t="s">
        <v>16</v>
      </c>
    </row>
    <row r="47" spans="1:8" x14ac:dyDescent="0.3">
      <c r="A47" s="4" t="s">
        <v>89</v>
      </c>
      <c r="B47" s="4" t="s">
        <v>13</v>
      </c>
      <c r="C47" s="5">
        <v>3818200</v>
      </c>
      <c r="D47" s="3" t="s">
        <v>90</v>
      </c>
      <c r="E47" s="6"/>
      <c r="F47" s="3"/>
      <c r="G47" s="4" t="s">
        <v>15</v>
      </c>
      <c r="H47" s="4" t="s">
        <v>16</v>
      </c>
    </row>
    <row r="48" spans="1:8" x14ac:dyDescent="0.3">
      <c r="A48" s="4" t="s">
        <v>91</v>
      </c>
      <c r="B48" s="4" t="s">
        <v>9</v>
      </c>
      <c r="C48" s="5">
        <v>1470000</v>
      </c>
      <c r="D48" s="7" t="s">
        <v>92</v>
      </c>
      <c r="E48" s="6">
        <v>676142</v>
      </c>
      <c r="F48" s="3"/>
      <c r="G48" s="4" t="s">
        <v>11</v>
      </c>
    </row>
    <row r="49" spans="1:8" x14ac:dyDescent="0.3">
      <c r="A49" s="4" t="s">
        <v>93</v>
      </c>
      <c r="D49" s="3"/>
      <c r="E49" s="6"/>
      <c r="F49" s="3"/>
    </row>
    <row r="50" spans="1:8" x14ac:dyDescent="0.3">
      <c r="A50" s="4" t="s">
        <v>95</v>
      </c>
      <c r="D50" s="7"/>
      <c r="E50" s="6"/>
      <c r="F50" s="3"/>
    </row>
    <row r="51" spans="1:8" x14ac:dyDescent="0.3">
      <c r="A51" s="4" t="s">
        <v>96</v>
      </c>
      <c r="B51" s="4" t="s">
        <v>13</v>
      </c>
      <c r="C51" s="5">
        <v>1461350</v>
      </c>
      <c r="D51" s="7" t="s">
        <v>97</v>
      </c>
      <c r="E51" s="6">
        <v>139872</v>
      </c>
      <c r="F51" s="3" t="s">
        <v>253</v>
      </c>
      <c r="G51" s="4" t="s">
        <v>15</v>
      </c>
      <c r="H51" s="4" t="s">
        <v>16</v>
      </c>
    </row>
    <row r="52" spans="1:8" x14ac:dyDescent="0.3">
      <c r="A52" s="4" t="s">
        <v>98</v>
      </c>
      <c r="B52" s="4" t="s">
        <v>9</v>
      </c>
      <c r="C52" s="5">
        <v>1204300</v>
      </c>
      <c r="D52" s="3" t="s">
        <v>99</v>
      </c>
      <c r="E52" s="6">
        <v>2126490</v>
      </c>
      <c r="F52" s="3"/>
      <c r="G52" s="4" t="s">
        <v>11</v>
      </c>
    </row>
    <row r="53" spans="1:8" x14ac:dyDescent="0.3">
      <c r="A53" s="4" t="s">
        <v>100</v>
      </c>
      <c r="B53" s="4" t="s">
        <v>9</v>
      </c>
      <c r="C53" s="5">
        <v>5149800</v>
      </c>
      <c r="D53" s="8" t="s">
        <v>101</v>
      </c>
      <c r="E53" s="9">
        <v>7671192</v>
      </c>
      <c r="F53" s="7"/>
      <c r="G53" s="7" t="s">
        <v>11</v>
      </c>
    </row>
    <row r="54" spans="1:8" x14ac:dyDescent="0.3">
      <c r="A54" s="4" t="s">
        <v>102</v>
      </c>
      <c r="B54" s="4" t="s">
        <v>9</v>
      </c>
      <c r="C54" s="5">
        <v>1943850</v>
      </c>
      <c r="D54" s="3" t="s">
        <v>189</v>
      </c>
      <c r="E54" s="6">
        <v>20388982</v>
      </c>
      <c r="F54" s="3"/>
      <c r="G54" s="4" t="s">
        <v>11</v>
      </c>
    </row>
    <row r="55" spans="1:8" x14ac:dyDescent="0.3">
      <c r="A55" s="4" t="s">
        <v>104</v>
      </c>
      <c r="B55" s="4" t="s">
        <v>9</v>
      </c>
      <c r="C55" s="5">
        <v>500000</v>
      </c>
      <c r="D55" s="3" t="s">
        <v>244</v>
      </c>
      <c r="E55" s="6"/>
      <c r="F55" s="3" t="s">
        <v>245</v>
      </c>
      <c r="G55" s="4" t="s">
        <v>11</v>
      </c>
    </row>
    <row r="56" spans="1:8" x14ac:dyDescent="0.3">
      <c r="A56" s="4" t="s">
        <v>104</v>
      </c>
      <c r="B56" s="4" t="s">
        <v>9</v>
      </c>
      <c r="C56" s="5">
        <v>3197100</v>
      </c>
      <c r="D56" s="7" t="s">
        <v>105</v>
      </c>
      <c r="E56" s="6">
        <v>97194</v>
      </c>
      <c r="F56" s="3"/>
      <c r="G56" s="4" t="s">
        <v>11</v>
      </c>
    </row>
    <row r="57" spans="1:8" x14ac:dyDescent="0.3">
      <c r="A57" s="4" t="s">
        <v>106</v>
      </c>
      <c r="B57" s="4" t="s">
        <v>13</v>
      </c>
      <c r="C57" s="5">
        <v>3738000</v>
      </c>
      <c r="D57" s="3" t="s">
        <v>107</v>
      </c>
      <c r="E57" s="6">
        <v>23211412</v>
      </c>
      <c r="F57" s="3"/>
      <c r="G57" s="4" t="s">
        <v>15</v>
      </c>
      <c r="H57" s="4" t="s">
        <v>16</v>
      </c>
    </row>
    <row r="58" spans="1:8" x14ac:dyDescent="0.3">
      <c r="A58" s="4" t="s">
        <v>108</v>
      </c>
      <c r="B58" s="4" t="s">
        <v>13</v>
      </c>
      <c r="C58" s="5">
        <v>4955100</v>
      </c>
      <c r="D58" s="7" t="s">
        <v>135</v>
      </c>
      <c r="E58" s="6">
        <v>160988</v>
      </c>
      <c r="F58" s="3"/>
      <c r="G58" s="4" t="s">
        <v>15</v>
      </c>
      <c r="H58" s="4" t="s">
        <v>16</v>
      </c>
    </row>
    <row r="59" spans="1:8" x14ac:dyDescent="0.3">
      <c r="A59" s="4" t="s">
        <v>109</v>
      </c>
      <c r="B59" s="4" t="s">
        <v>13</v>
      </c>
      <c r="C59" s="5">
        <v>1905900</v>
      </c>
      <c r="D59" s="3" t="s">
        <v>213</v>
      </c>
      <c r="E59" s="6"/>
      <c r="F59" s="3"/>
      <c r="G59" s="4" t="s">
        <v>15</v>
      </c>
      <c r="H59" s="4" t="s">
        <v>16</v>
      </c>
    </row>
    <row r="60" spans="1:8" x14ac:dyDescent="0.3">
      <c r="A60" s="4" t="s">
        <v>111</v>
      </c>
      <c r="B60" s="4" t="s">
        <v>13</v>
      </c>
      <c r="C60" s="5">
        <v>2516310</v>
      </c>
      <c r="D60" s="16" t="s">
        <v>132</v>
      </c>
      <c r="E60" s="15"/>
      <c r="F60" s="16" t="s">
        <v>236</v>
      </c>
      <c r="G60" s="4" t="s">
        <v>15</v>
      </c>
      <c r="H60" s="4" t="s">
        <v>16</v>
      </c>
    </row>
    <row r="61" spans="1:8" x14ac:dyDescent="0.3">
      <c r="A61" s="4" t="s">
        <v>113</v>
      </c>
      <c r="B61" s="4" t="s">
        <v>25</v>
      </c>
      <c r="C61" s="5">
        <v>5387920</v>
      </c>
      <c r="D61" s="3" t="s">
        <v>92</v>
      </c>
      <c r="E61" s="15" t="s">
        <v>249</v>
      </c>
      <c r="F61" s="16" t="s">
        <v>250</v>
      </c>
      <c r="G61" s="4" t="s">
        <v>15</v>
      </c>
      <c r="H61" s="4" t="s">
        <v>27</v>
      </c>
    </row>
    <row r="62" spans="1:8" s="10" customFormat="1" ht="15" thickBot="1" x14ac:dyDescent="0.35">
      <c r="A62" s="10" t="s">
        <v>114</v>
      </c>
      <c r="B62" s="4"/>
      <c r="C62" s="11">
        <f>SUM(C2:C61)</f>
        <v>97862866</v>
      </c>
      <c r="D62" s="4"/>
    </row>
    <row r="63" spans="1:8" ht="15" thickTop="1" x14ac:dyDescent="0.3"/>
    <row r="68" spans="4:4" x14ac:dyDescent="0.3">
      <c r="D68" s="12"/>
    </row>
  </sheetData>
  <conditionalFormatting sqref="F14:I15">
    <cfRule type="containsText" dxfId="753" priority="17" operator="containsText" text="No">
      <formula>NOT(ISERROR(SEARCH("No",F14)))</formula>
    </cfRule>
    <cfRule type="containsText" dxfId="752" priority="18" operator="containsText" text="Yes">
      <formula>NOT(ISERROR(SEARCH("Yes",F14)))</formula>
    </cfRule>
  </conditionalFormatting>
  <conditionalFormatting sqref="G1">
    <cfRule type="containsText" dxfId="751" priority="55" operator="containsText" text="No">
      <formula>NOT(ISERROR(SEARCH("No",G1)))</formula>
    </cfRule>
    <cfRule type="containsText" dxfId="750" priority="56" operator="containsText" text="Yes">
      <formula>NOT(ISERROR(SEARCH("Yes",G1)))</formula>
    </cfRule>
  </conditionalFormatting>
  <conditionalFormatting sqref="G16 G19">
    <cfRule type="containsText" dxfId="749" priority="45" operator="containsText" text="No">
      <formula>NOT(ISERROR(SEARCH("No",G16)))</formula>
    </cfRule>
    <cfRule type="containsText" dxfId="748" priority="46" operator="containsText" text="Yes">
      <formula>NOT(ISERROR(SEARCH("Yes",G16)))</formula>
    </cfRule>
  </conditionalFormatting>
  <conditionalFormatting sqref="G29">
    <cfRule type="containsText" dxfId="747" priority="43" operator="containsText" text="No">
      <formula>NOT(ISERROR(SEARCH("No",G29)))</formula>
    </cfRule>
    <cfRule type="containsText" dxfId="746" priority="44" operator="containsText" text="Yes">
      <formula>NOT(ISERROR(SEARCH("Yes",G29)))</formula>
    </cfRule>
  </conditionalFormatting>
  <conditionalFormatting sqref="G40">
    <cfRule type="containsText" dxfId="745" priority="59" operator="containsText" text="No">
      <formula>NOT(ISERROR(SEARCH("No",G40)))</formula>
    </cfRule>
    <cfRule type="containsText" dxfId="744" priority="60" operator="containsText" text="Yes">
      <formula>NOT(ISERROR(SEARCH("Yes",G40)))</formula>
    </cfRule>
  </conditionalFormatting>
  <conditionalFormatting sqref="G43">
    <cfRule type="containsText" dxfId="743" priority="53" operator="containsText" text="No">
      <formula>NOT(ISERROR(SEARCH("No",G43)))</formula>
    </cfRule>
    <cfRule type="containsText" dxfId="742" priority="54" operator="containsText" text="Yes">
      <formula>NOT(ISERROR(SEARCH("Yes",G43)))</formula>
    </cfRule>
  </conditionalFormatting>
  <conditionalFormatting sqref="G52">
    <cfRule type="containsText" dxfId="741" priority="51" operator="containsText" text="No">
      <formula>NOT(ISERROR(SEARCH("No",G52)))</formula>
    </cfRule>
    <cfRule type="containsText" dxfId="740" priority="52" operator="containsText" text="Yes">
      <formula>NOT(ISERROR(SEARCH("Yes",G52)))</formula>
    </cfRule>
  </conditionalFormatting>
  <conditionalFormatting sqref="G62:G1048576">
    <cfRule type="containsText" dxfId="739" priority="57" operator="containsText" text="No">
      <formula>NOT(ISERROR(SEARCH("No",G62)))</formula>
    </cfRule>
    <cfRule type="containsText" dxfId="738" priority="58" operator="containsText" text="Yes">
      <formula>NOT(ISERROR(SEARCH("Yes",G62)))</formula>
    </cfRule>
  </conditionalFormatting>
  <conditionalFormatting sqref="G2:H7">
    <cfRule type="containsText" dxfId="737" priority="11" operator="containsText" text="No">
      <formula>NOT(ISERROR(SEARCH("No",G2)))</formula>
    </cfRule>
    <cfRule type="containsText" dxfId="736" priority="12" operator="containsText" text="Yes">
      <formula>NOT(ISERROR(SEARCH("Yes",G2)))</formula>
    </cfRule>
  </conditionalFormatting>
  <conditionalFormatting sqref="G20:H28">
    <cfRule type="containsText" dxfId="735" priority="13" operator="containsText" text="No">
      <formula>NOT(ISERROR(SEARCH("No",G20)))</formula>
    </cfRule>
    <cfRule type="containsText" dxfId="734" priority="14" operator="containsText" text="Yes">
      <formula>NOT(ISERROR(SEARCH("Yes",G20)))</formula>
    </cfRule>
  </conditionalFormatting>
  <conditionalFormatting sqref="G30:H39">
    <cfRule type="containsText" dxfId="733" priority="3" operator="containsText" text="No">
      <formula>NOT(ISERROR(SEARCH("No",G30)))</formula>
    </cfRule>
    <cfRule type="containsText" dxfId="732" priority="4" operator="containsText" text="Yes">
      <formula>NOT(ISERROR(SEARCH("Yes",G30)))</formula>
    </cfRule>
  </conditionalFormatting>
  <conditionalFormatting sqref="G41:H42">
    <cfRule type="containsText" dxfId="731" priority="37" operator="containsText" text="No">
      <formula>NOT(ISERROR(SEARCH("No",G41)))</formula>
    </cfRule>
    <cfRule type="containsText" dxfId="730" priority="38" operator="containsText" text="Yes">
      <formula>NOT(ISERROR(SEARCH("Yes",G41)))</formula>
    </cfRule>
  </conditionalFormatting>
  <conditionalFormatting sqref="G44:H51">
    <cfRule type="containsText" dxfId="729" priority="9" operator="containsText" text="No">
      <formula>NOT(ISERROR(SEARCH("No",G44)))</formula>
    </cfRule>
    <cfRule type="containsText" dxfId="728" priority="10" operator="containsText" text="Yes">
      <formula>NOT(ISERROR(SEARCH("Yes",G44)))</formula>
    </cfRule>
  </conditionalFormatting>
  <conditionalFormatting sqref="G53:H61">
    <cfRule type="containsText" dxfId="727" priority="7" operator="containsText" text="No">
      <formula>NOT(ISERROR(SEARCH("No",G53)))</formula>
    </cfRule>
    <cfRule type="containsText" dxfId="726" priority="8" operator="containsText" text="Yes">
      <formula>NOT(ISERROR(SEARCH("Yes",G53)))</formula>
    </cfRule>
  </conditionalFormatting>
  <conditionalFormatting sqref="G8:I13">
    <cfRule type="containsText" dxfId="725" priority="15" operator="containsText" text="No">
      <formula>NOT(ISERROR(SEARCH("No",G8)))</formula>
    </cfRule>
    <cfRule type="containsText" dxfId="724" priority="16" operator="containsText" text="Yes">
      <formula>NOT(ISERROR(SEARCH("Yes",G8)))</formula>
    </cfRule>
  </conditionalFormatting>
  <conditionalFormatting sqref="G17:I18">
    <cfRule type="containsText" dxfId="723" priority="1" operator="containsText" text="No">
      <formula>NOT(ISERROR(SEARCH("No",G17)))</formula>
    </cfRule>
    <cfRule type="containsText" dxfId="722" priority="2" operator="containsText" text="Yes">
      <formula>NOT(ISERROR(SEARCH("Yes",G17)))</formula>
    </cfRule>
  </conditionalFormatting>
  <conditionalFormatting sqref="H28">
    <cfRule type="containsText" dxfId="721" priority="47" operator="containsText" text="No">
      <formula>NOT(ISERROR(SEARCH("No",H28)))</formula>
    </cfRule>
    <cfRule type="containsText" dxfId="720" priority="48" operator="containsText" text="Yes">
      <formula>NOT(ISERROR(SEARCH("Yes",H28)))</formula>
    </cfRule>
  </conditionalFormatting>
  <conditionalFormatting sqref="I20">
    <cfRule type="containsText" dxfId="719" priority="49" operator="containsText" text="No">
      <formula>NOT(ISERROR(SEARCH("No",I20)))</formula>
    </cfRule>
    <cfRule type="containsText" dxfId="718" priority="50" operator="containsText" text="Yes">
      <formula>NOT(ISERROR(SEARCH("Yes",I20)))</formula>
    </cfRule>
  </conditionalFormatting>
  <conditionalFormatting sqref="I20:I27">
    <cfRule type="containsText" dxfId="717" priority="39" operator="containsText" text="No">
      <formula>NOT(ISERROR(SEARCH("No",I20)))</formula>
    </cfRule>
    <cfRule type="containsText" dxfId="716" priority="40" operator="containsText" text="Yes">
      <formula>NOT(ISERROR(SEARCH("Yes",I20)))</formula>
    </cfRule>
  </conditionalFormatting>
  <conditionalFormatting sqref="I30">
    <cfRule type="containsText" dxfId="715" priority="41" operator="containsText" text="No">
      <formula>NOT(ISERROR(SEARCH("No",I30)))</formula>
    </cfRule>
    <cfRule type="containsText" dxfId="714" priority="42" operator="containsText" text="Yes">
      <formula>NOT(ISERROR(SEARCH("Yes",I30)))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68"/>
  <sheetViews>
    <sheetView zoomScale="96" zoomScaleNormal="96" workbookViewId="0">
      <pane ySplit="1" topLeftCell="A41" activePane="bottomLeft" state="frozen"/>
      <selection pane="bottomLeft" activeCell="C62" sqref="C62"/>
    </sheetView>
  </sheetViews>
  <sheetFormatPr defaultColWidth="10" defaultRowHeight="14.4" x14ac:dyDescent="0.3"/>
  <cols>
    <col min="1" max="1" width="17.5546875" style="4" bestFit="1" customWidth="1"/>
    <col min="2" max="2" width="12.33203125" style="4" bestFit="1" customWidth="1"/>
    <col min="3" max="3" width="18.5546875" style="5" bestFit="1" customWidth="1"/>
    <col min="4" max="4" width="23.88671875" style="4" bestFit="1" customWidth="1"/>
    <col min="5" max="5" width="16.6640625" style="4" bestFit="1" customWidth="1"/>
    <col min="6" max="6" width="14.6640625" style="4" bestFit="1" customWidth="1"/>
    <col min="7" max="7" width="14.6640625" style="4" customWidth="1"/>
    <col min="8" max="8" width="12.109375" style="4" bestFit="1" customWidth="1"/>
    <col min="9" max="9" width="4.33203125" style="4" customWidth="1"/>
    <col min="10" max="16384" width="10" style="4"/>
  </cols>
  <sheetData>
    <row r="1" spans="1:9" s="1" customForma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s="1" customFormat="1" x14ac:dyDescent="0.3">
      <c r="A2" s="3" t="s">
        <v>8</v>
      </c>
      <c r="B2" s="4" t="s">
        <v>9</v>
      </c>
      <c r="C2" s="5">
        <v>2684900</v>
      </c>
      <c r="D2" s="3" t="s">
        <v>10</v>
      </c>
      <c r="E2" s="6">
        <v>360929</v>
      </c>
      <c r="F2" s="3"/>
      <c r="G2" s="4" t="s">
        <v>11</v>
      </c>
      <c r="H2" s="4"/>
      <c r="I2" s="16" t="s">
        <v>195</v>
      </c>
    </row>
    <row r="3" spans="1:9" x14ac:dyDescent="0.3">
      <c r="A3" s="4" t="s">
        <v>12</v>
      </c>
      <c r="B3" s="4" t="s">
        <v>13</v>
      </c>
      <c r="C3" s="5">
        <v>536150</v>
      </c>
      <c r="D3" s="3" t="s">
        <v>14</v>
      </c>
      <c r="E3" s="6"/>
      <c r="F3" s="16"/>
      <c r="G3" s="4" t="s">
        <v>15</v>
      </c>
      <c r="H3" s="4" t="s">
        <v>16</v>
      </c>
      <c r="I3" s="4" t="s">
        <v>195</v>
      </c>
    </row>
    <row r="4" spans="1:9" x14ac:dyDescent="0.3">
      <c r="A4" s="4" t="s">
        <v>17</v>
      </c>
      <c r="D4" s="16"/>
      <c r="E4" s="6"/>
      <c r="F4" s="3"/>
    </row>
    <row r="5" spans="1:9" x14ac:dyDescent="0.3">
      <c r="A5" s="4" t="s">
        <v>18</v>
      </c>
      <c r="B5" s="4" t="s">
        <v>13</v>
      </c>
      <c r="C5" s="5">
        <v>1382050</v>
      </c>
      <c r="D5" s="3" t="s">
        <v>19</v>
      </c>
      <c r="E5" s="6">
        <v>23480828</v>
      </c>
      <c r="F5" s="3"/>
      <c r="G5" s="4" t="s">
        <v>15</v>
      </c>
      <c r="H5" s="4" t="s">
        <v>16</v>
      </c>
      <c r="I5" s="4" t="s">
        <v>195</v>
      </c>
    </row>
    <row r="6" spans="1:9" x14ac:dyDescent="0.3">
      <c r="A6" s="4" t="s">
        <v>20</v>
      </c>
      <c r="B6" s="4" t="s">
        <v>13</v>
      </c>
      <c r="C6" s="5">
        <v>930000</v>
      </c>
      <c r="D6" s="3" t="s">
        <v>21</v>
      </c>
      <c r="E6" s="6">
        <v>25461380</v>
      </c>
      <c r="F6" s="3"/>
      <c r="G6" s="4" t="s">
        <v>15</v>
      </c>
      <c r="H6" s="4" t="s">
        <v>16</v>
      </c>
      <c r="I6" s="4" t="s">
        <v>277</v>
      </c>
    </row>
    <row r="7" spans="1:9" x14ac:dyDescent="0.3">
      <c r="A7" s="4" t="s">
        <v>22</v>
      </c>
      <c r="B7" s="4" t="s">
        <v>13</v>
      </c>
      <c r="C7" s="5">
        <v>360800</v>
      </c>
      <c r="D7" s="3" t="s">
        <v>23</v>
      </c>
      <c r="E7" s="6">
        <v>23480826</v>
      </c>
      <c r="F7" s="3"/>
      <c r="G7" s="4" t="s">
        <v>15</v>
      </c>
      <c r="H7" s="4" t="s">
        <v>16</v>
      </c>
      <c r="I7" s="4" t="s">
        <v>195</v>
      </c>
    </row>
    <row r="8" spans="1:9" x14ac:dyDescent="0.3">
      <c r="A8" s="4" t="s">
        <v>24</v>
      </c>
      <c r="B8" s="4" t="s">
        <v>25</v>
      </c>
      <c r="C8" s="5">
        <v>1338800</v>
      </c>
      <c r="D8" s="16" t="s">
        <v>26</v>
      </c>
      <c r="E8" s="6">
        <v>339769</v>
      </c>
      <c r="F8" s="3"/>
      <c r="G8" s="4" t="s">
        <v>15</v>
      </c>
      <c r="H8" s="4" t="s">
        <v>27</v>
      </c>
      <c r="I8" s="4" t="s">
        <v>195</v>
      </c>
    </row>
    <row r="9" spans="1:9" x14ac:dyDescent="0.3">
      <c r="A9" s="4" t="s">
        <v>28</v>
      </c>
      <c r="B9" s="4" t="s">
        <v>13</v>
      </c>
      <c r="C9" s="5">
        <v>834400</v>
      </c>
      <c r="D9" s="3" t="s">
        <v>29</v>
      </c>
      <c r="E9" s="6">
        <v>23480816</v>
      </c>
      <c r="F9" s="3"/>
      <c r="G9" s="4" t="s">
        <v>15</v>
      </c>
      <c r="H9" s="4" t="s">
        <v>16</v>
      </c>
      <c r="I9" s="4" t="s">
        <v>195</v>
      </c>
    </row>
    <row r="10" spans="1:9" x14ac:dyDescent="0.3">
      <c r="A10" s="4" t="s">
        <v>30</v>
      </c>
      <c r="B10" s="4" t="s">
        <v>25</v>
      </c>
      <c r="C10" s="5">
        <v>3298100</v>
      </c>
      <c r="D10" s="3" t="s">
        <v>136</v>
      </c>
      <c r="E10" s="6"/>
      <c r="F10" s="16" t="s">
        <v>275</v>
      </c>
      <c r="I10" s="4" t="s">
        <v>195</v>
      </c>
    </row>
    <row r="11" spans="1:9" x14ac:dyDescent="0.3">
      <c r="A11" s="4" t="s">
        <v>31</v>
      </c>
      <c r="B11" s="4" t="s">
        <v>25</v>
      </c>
      <c r="C11" s="5">
        <v>4288550</v>
      </c>
      <c r="D11" s="3" t="s">
        <v>268</v>
      </c>
      <c r="E11" s="6"/>
      <c r="F11" s="3"/>
      <c r="G11" s="4" t="s">
        <v>15</v>
      </c>
      <c r="H11" s="4" t="s">
        <v>16</v>
      </c>
      <c r="I11" s="4" t="s">
        <v>195</v>
      </c>
    </row>
    <row r="12" spans="1:9" x14ac:dyDescent="0.3">
      <c r="A12" s="4" t="s">
        <v>32</v>
      </c>
      <c r="B12" s="4" t="s">
        <v>9</v>
      </c>
      <c r="C12" s="5">
        <v>5965950</v>
      </c>
      <c r="D12" s="16" t="s">
        <v>137</v>
      </c>
      <c r="E12" s="6">
        <v>4577481</v>
      </c>
      <c r="F12" s="3"/>
      <c r="I12" s="4" t="s">
        <v>195</v>
      </c>
    </row>
    <row r="13" spans="1:9" x14ac:dyDescent="0.3">
      <c r="A13" s="4" t="s">
        <v>33</v>
      </c>
      <c r="B13" s="4" t="s">
        <v>13</v>
      </c>
      <c r="C13" s="5">
        <v>2048300</v>
      </c>
      <c r="D13" s="3" t="s">
        <v>34</v>
      </c>
      <c r="E13" s="6"/>
      <c r="F13" s="3"/>
      <c r="G13" s="4" t="s">
        <v>15</v>
      </c>
      <c r="H13" s="4" t="s">
        <v>16</v>
      </c>
      <c r="I13" s="4" t="s">
        <v>195</v>
      </c>
    </row>
    <row r="14" spans="1:9" x14ac:dyDescent="0.3">
      <c r="A14" s="4" t="s">
        <v>35</v>
      </c>
      <c r="B14" s="4" t="s">
        <v>13</v>
      </c>
      <c r="C14" s="5">
        <v>382800</v>
      </c>
      <c r="D14" s="3" t="s">
        <v>36</v>
      </c>
      <c r="E14" s="6">
        <v>149087</v>
      </c>
      <c r="G14" s="4" t="s">
        <v>15</v>
      </c>
      <c r="H14" s="4" t="s">
        <v>16</v>
      </c>
    </row>
    <row r="15" spans="1:9" x14ac:dyDescent="0.3">
      <c r="A15" s="4" t="s">
        <v>37</v>
      </c>
      <c r="B15" s="4" t="s">
        <v>13</v>
      </c>
      <c r="C15" s="5">
        <v>1314400</v>
      </c>
      <c r="D15" s="3" t="s">
        <v>38</v>
      </c>
      <c r="E15" s="6">
        <v>115520</v>
      </c>
      <c r="F15" s="4" t="s">
        <v>258</v>
      </c>
      <c r="G15" s="4" t="s">
        <v>15</v>
      </c>
      <c r="H15" s="4" t="s">
        <v>16</v>
      </c>
      <c r="I15" s="4" t="s">
        <v>195</v>
      </c>
    </row>
    <row r="16" spans="1:9" x14ac:dyDescent="0.3">
      <c r="A16" s="4" t="s">
        <v>39</v>
      </c>
      <c r="D16" s="3"/>
      <c r="E16" s="6"/>
      <c r="F16" s="3"/>
    </row>
    <row r="17" spans="1:9" x14ac:dyDescent="0.3">
      <c r="A17" s="4" t="s">
        <v>40</v>
      </c>
      <c r="B17" s="4" t="s">
        <v>13</v>
      </c>
      <c r="C17" s="5">
        <v>1550000</v>
      </c>
      <c r="D17" s="3" t="s">
        <v>41</v>
      </c>
      <c r="E17" s="6">
        <v>118991</v>
      </c>
      <c r="F17" s="3" t="s">
        <v>260</v>
      </c>
      <c r="G17" s="4" t="s">
        <v>15</v>
      </c>
      <c r="H17" s="4" t="s">
        <v>16</v>
      </c>
      <c r="I17" s="4" t="s">
        <v>195</v>
      </c>
    </row>
    <row r="18" spans="1:9" x14ac:dyDescent="0.3">
      <c r="A18" s="4" t="s">
        <v>42</v>
      </c>
      <c r="D18" s="3"/>
      <c r="E18" s="6"/>
      <c r="F18" s="3"/>
    </row>
    <row r="19" spans="1:9" x14ac:dyDescent="0.3">
      <c r="A19" s="4" t="s">
        <v>43</v>
      </c>
      <c r="D19" s="3"/>
      <c r="E19" s="6"/>
      <c r="F19" s="3"/>
    </row>
    <row r="20" spans="1:9" x14ac:dyDescent="0.3">
      <c r="A20" s="4" t="s">
        <v>44</v>
      </c>
      <c r="B20" s="4" t="s">
        <v>25</v>
      </c>
      <c r="C20" s="5">
        <v>2742900</v>
      </c>
      <c r="D20" s="3" t="s">
        <v>45</v>
      </c>
      <c r="E20" s="15" t="s">
        <v>272</v>
      </c>
      <c r="F20" s="16" t="s">
        <v>273</v>
      </c>
      <c r="G20" s="4" t="s">
        <v>15</v>
      </c>
      <c r="H20" s="4" t="s">
        <v>27</v>
      </c>
      <c r="I20" s="18" t="s">
        <v>195</v>
      </c>
    </row>
    <row r="21" spans="1:9" x14ac:dyDescent="0.3">
      <c r="A21" s="4" t="s">
        <v>46</v>
      </c>
      <c r="B21" s="4" t="s">
        <v>25</v>
      </c>
      <c r="C21" s="5">
        <v>1015550</v>
      </c>
      <c r="D21" s="3" t="s">
        <v>47</v>
      </c>
      <c r="E21" s="6" t="s">
        <v>256</v>
      </c>
      <c r="F21" s="3" t="s">
        <v>257</v>
      </c>
      <c r="G21" s="4" t="s">
        <v>15</v>
      </c>
      <c r="H21" s="4" t="s">
        <v>27</v>
      </c>
      <c r="I21" s="4" t="s">
        <v>195</v>
      </c>
    </row>
    <row r="22" spans="1:9" x14ac:dyDescent="0.3">
      <c r="A22" s="4" t="s">
        <v>49</v>
      </c>
      <c r="B22" s="4" t="s">
        <v>13</v>
      </c>
      <c r="C22" s="5">
        <v>1436770</v>
      </c>
      <c r="D22" s="3" t="s">
        <v>50</v>
      </c>
      <c r="E22" s="6"/>
      <c r="F22" s="3"/>
      <c r="G22" s="4" t="s">
        <v>15</v>
      </c>
      <c r="H22" s="4" t="s">
        <v>16</v>
      </c>
      <c r="I22" s="4" t="s">
        <v>195</v>
      </c>
    </row>
    <row r="23" spans="1:9" x14ac:dyDescent="0.3">
      <c r="A23" s="4" t="s">
        <v>51</v>
      </c>
      <c r="B23" s="4" t="s">
        <v>13</v>
      </c>
      <c r="C23" s="5">
        <v>2983150</v>
      </c>
      <c r="D23" s="5" t="s">
        <v>207</v>
      </c>
      <c r="E23" s="6">
        <v>121988</v>
      </c>
      <c r="F23" s="3"/>
      <c r="G23" s="4" t="s">
        <v>15</v>
      </c>
      <c r="H23" s="4" t="s">
        <v>16</v>
      </c>
      <c r="I23" s="4" t="s">
        <v>195</v>
      </c>
    </row>
    <row r="24" spans="1:9" x14ac:dyDescent="0.3">
      <c r="A24" s="4" t="s">
        <v>52</v>
      </c>
      <c r="B24" s="4" t="s">
        <v>13</v>
      </c>
      <c r="C24" s="5">
        <v>821800</v>
      </c>
      <c r="D24" s="3" t="s">
        <v>188</v>
      </c>
      <c r="E24" s="6">
        <v>25461383</v>
      </c>
      <c r="F24" s="3"/>
      <c r="G24" s="4" t="s">
        <v>15</v>
      </c>
      <c r="H24" s="4" t="s">
        <v>16</v>
      </c>
      <c r="I24" s="4" t="s">
        <v>195</v>
      </c>
    </row>
    <row r="25" spans="1:9" x14ac:dyDescent="0.3">
      <c r="A25" s="4" t="s">
        <v>53</v>
      </c>
      <c r="B25" s="4" t="s">
        <v>9</v>
      </c>
      <c r="C25" s="5">
        <v>5613200</v>
      </c>
      <c r="D25" s="3" t="s">
        <v>54</v>
      </c>
      <c r="E25" s="6">
        <v>6770072</v>
      </c>
      <c r="F25" s="3"/>
      <c r="G25" s="4" t="s">
        <v>11</v>
      </c>
    </row>
    <row r="26" spans="1:9" x14ac:dyDescent="0.3">
      <c r="A26" s="4" t="s">
        <v>55</v>
      </c>
      <c r="B26" s="4" t="s">
        <v>13</v>
      </c>
      <c r="C26" s="5">
        <v>808850</v>
      </c>
      <c r="D26" s="3" t="s">
        <v>56</v>
      </c>
      <c r="E26" s="6">
        <v>119135</v>
      </c>
      <c r="F26" s="3" t="s">
        <v>261</v>
      </c>
      <c r="G26" s="4" t="s">
        <v>15</v>
      </c>
      <c r="H26" s="4" t="s">
        <v>16</v>
      </c>
      <c r="I26" s="4" t="s">
        <v>195</v>
      </c>
    </row>
    <row r="27" spans="1:9" x14ac:dyDescent="0.3">
      <c r="A27" s="4" t="s">
        <v>57</v>
      </c>
      <c r="B27" s="4" t="s">
        <v>13</v>
      </c>
      <c r="C27" s="5">
        <v>534105</v>
      </c>
      <c r="D27" s="3" t="s">
        <v>58</v>
      </c>
      <c r="E27" s="6"/>
      <c r="F27" s="3"/>
      <c r="G27" s="4" t="s">
        <v>15</v>
      </c>
      <c r="H27" s="4" t="s">
        <v>16</v>
      </c>
      <c r="I27" s="4" t="s">
        <v>195</v>
      </c>
    </row>
    <row r="28" spans="1:9" x14ac:dyDescent="0.3">
      <c r="A28" s="4" t="s">
        <v>59</v>
      </c>
      <c r="D28" s="3"/>
      <c r="E28" s="6"/>
      <c r="F28" s="3"/>
      <c r="G28" s="7"/>
      <c r="H28" s="5"/>
    </row>
    <row r="29" spans="1:9" x14ac:dyDescent="0.3">
      <c r="A29" s="4" t="s">
        <v>60</v>
      </c>
      <c r="D29" s="3"/>
      <c r="E29" s="6"/>
      <c r="F29" s="3"/>
    </row>
    <row r="30" spans="1:9" x14ac:dyDescent="0.3">
      <c r="A30" s="4" t="s">
        <v>61</v>
      </c>
      <c r="B30" s="4" t="s">
        <v>13</v>
      </c>
      <c r="C30" s="5">
        <v>2411700</v>
      </c>
      <c r="D30" s="3" t="s">
        <v>243</v>
      </c>
      <c r="E30" s="6">
        <v>23131325</v>
      </c>
      <c r="F30" s="3"/>
      <c r="G30" s="4" t="s">
        <v>15</v>
      </c>
      <c r="H30" s="4" t="s">
        <v>16</v>
      </c>
      <c r="I30" s="4" t="s">
        <v>195</v>
      </c>
    </row>
    <row r="31" spans="1:9" x14ac:dyDescent="0.3">
      <c r="A31" s="4" t="s">
        <v>63</v>
      </c>
      <c r="D31" s="3"/>
      <c r="E31" s="6"/>
      <c r="F31" s="3"/>
    </row>
    <row r="32" spans="1:9" x14ac:dyDescent="0.3">
      <c r="A32" s="4" t="s">
        <v>64</v>
      </c>
      <c r="D32" s="3"/>
      <c r="E32" s="6"/>
      <c r="F32" s="3"/>
    </row>
    <row r="33" spans="1:9" x14ac:dyDescent="0.3">
      <c r="A33" s="4" t="s">
        <v>65</v>
      </c>
      <c r="B33" s="4" t="s">
        <v>13</v>
      </c>
      <c r="C33" s="5">
        <v>2002800</v>
      </c>
      <c r="D33" s="7" t="s">
        <v>66</v>
      </c>
      <c r="E33" s="6">
        <v>23480819</v>
      </c>
      <c r="F33" s="3"/>
      <c r="G33" s="4" t="s">
        <v>15</v>
      </c>
      <c r="H33" s="4" t="s">
        <v>16</v>
      </c>
      <c r="I33" s="4" t="s">
        <v>195</v>
      </c>
    </row>
    <row r="34" spans="1:9" x14ac:dyDescent="0.3">
      <c r="A34" s="4" t="s">
        <v>67</v>
      </c>
      <c r="B34" s="4" t="s">
        <v>13</v>
      </c>
      <c r="C34" s="5">
        <v>1967850</v>
      </c>
      <c r="D34" s="3" t="s">
        <v>68</v>
      </c>
      <c r="E34" s="6">
        <v>23480817</v>
      </c>
      <c r="F34" s="3"/>
      <c r="G34" s="4" t="s">
        <v>15</v>
      </c>
      <c r="H34" s="4" t="s">
        <v>16</v>
      </c>
      <c r="I34" s="4" t="s">
        <v>195</v>
      </c>
    </row>
    <row r="35" spans="1:9" x14ac:dyDescent="0.3">
      <c r="A35" s="4" t="s">
        <v>69</v>
      </c>
      <c r="B35" s="4" t="s">
        <v>25</v>
      </c>
      <c r="C35" s="5">
        <v>2961000</v>
      </c>
      <c r="D35" s="3" t="s">
        <v>70</v>
      </c>
      <c r="E35" s="6"/>
      <c r="F35" s="3" t="s">
        <v>265</v>
      </c>
      <c r="G35" s="4" t="s">
        <v>15</v>
      </c>
      <c r="H35" s="4" t="s">
        <v>27</v>
      </c>
      <c r="I35" s="4" t="s">
        <v>195</v>
      </c>
    </row>
    <row r="36" spans="1:9" x14ac:dyDescent="0.3">
      <c r="A36" s="4" t="s">
        <v>71</v>
      </c>
      <c r="B36" s="4" t="s">
        <v>25</v>
      </c>
      <c r="C36" s="5">
        <v>4118800</v>
      </c>
      <c r="D36" s="7" t="s">
        <v>72</v>
      </c>
      <c r="E36" s="6">
        <v>9427</v>
      </c>
      <c r="F36" s="3"/>
      <c r="G36" s="17" t="s">
        <v>15</v>
      </c>
      <c r="H36" s="4" t="s">
        <v>27</v>
      </c>
      <c r="I36" s="4" t="s">
        <v>195</v>
      </c>
    </row>
    <row r="37" spans="1:9" x14ac:dyDescent="0.3">
      <c r="A37" s="4" t="s">
        <v>73</v>
      </c>
      <c r="B37" s="4" t="s">
        <v>13</v>
      </c>
      <c r="C37" s="5">
        <v>1811000</v>
      </c>
      <c r="D37" s="3" t="s">
        <v>74</v>
      </c>
      <c r="E37" s="6">
        <v>129463</v>
      </c>
      <c r="F37" s="3" t="s">
        <v>262</v>
      </c>
      <c r="G37" s="4" t="s">
        <v>15</v>
      </c>
      <c r="H37" s="4" t="s">
        <v>16</v>
      </c>
      <c r="I37" s="4" t="s">
        <v>195</v>
      </c>
    </row>
    <row r="38" spans="1:9" x14ac:dyDescent="0.3">
      <c r="A38" s="4" t="s">
        <v>75</v>
      </c>
      <c r="D38" s="3"/>
      <c r="E38" s="6"/>
      <c r="F38" s="3"/>
    </row>
    <row r="39" spans="1:9" x14ac:dyDescent="0.3">
      <c r="A39" s="4" t="s">
        <v>76</v>
      </c>
      <c r="B39" s="4" t="s">
        <v>25</v>
      </c>
      <c r="C39" s="5">
        <v>711100</v>
      </c>
      <c r="D39" s="3" t="s">
        <v>77</v>
      </c>
      <c r="E39" s="6">
        <v>1952021</v>
      </c>
      <c r="F39" s="3"/>
      <c r="G39" s="4" t="s">
        <v>15</v>
      </c>
      <c r="H39" s="4" t="s">
        <v>27</v>
      </c>
      <c r="I39" s="4" t="s">
        <v>195</v>
      </c>
    </row>
    <row r="40" spans="1:9" x14ac:dyDescent="0.3">
      <c r="A40" s="4" t="s">
        <v>78</v>
      </c>
      <c r="D40" s="3"/>
      <c r="E40" s="6"/>
      <c r="F40" s="3"/>
    </row>
    <row r="41" spans="1:9" x14ac:dyDescent="0.3">
      <c r="A41" s="4" t="s">
        <v>79</v>
      </c>
      <c r="B41" s="4" t="s">
        <v>9</v>
      </c>
      <c r="C41" s="5">
        <v>8749000</v>
      </c>
      <c r="D41" s="16" t="s">
        <v>201</v>
      </c>
      <c r="E41" s="6">
        <v>4637966</v>
      </c>
      <c r="F41" s="3"/>
      <c r="G41" s="4" t="s">
        <v>11</v>
      </c>
    </row>
    <row r="42" spans="1:9" x14ac:dyDescent="0.3">
      <c r="A42" s="4" t="s">
        <v>80</v>
      </c>
      <c r="D42" s="7"/>
      <c r="E42" s="6"/>
      <c r="F42" s="3"/>
    </row>
    <row r="43" spans="1:9" x14ac:dyDescent="0.3">
      <c r="A43" s="4" t="s">
        <v>81</v>
      </c>
      <c r="B43" s="4" t="s">
        <v>9</v>
      </c>
      <c r="C43" s="5">
        <v>417000</v>
      </c>
      <c r="D43" s="3" t="s">
        <v>82</v>
      </c>
      <c r="E43" s="6">
        <v>2126318</v>
      </c>
      <c r="F43" s="3"/>
      <c r="G43" s="4" t="s">
        <v>11</v>
      </c>
      <c r="I43" s="4" t="s">
        <v>195</v>
      </c>
    </row>
    <row r="44" spans="1:9" x14ac:dyDescent="0.3">
      <c r="A44" s="4" t="s">
        <v>83</v>
      </c>
      <c r="B44" s="4" t="s">
        <v>13</v>
      </c>
      <c r="C44" s="5">
        <v>4434250</v>
      </c>
      <c r="D44" s="16" t="s">
        <v>84</v>
      </c>
      <c r="E44" s="6">
        <v>142111</v>
      </c>
      <c r="F44" s="16" t="s">
        <v>274</v>
      </c>
      <c r="G44" s="4" t="s">
        <v>15</v>
      </c>
      <c r="H44" s="4" t="s">
        <v>16</v>
      </c>
      <c r="I44" s="4" t="s">
        <v>195</v>
      </c>
    </row>
    <row r="45" spans="1:9" x14ac:dyDescent="0.3">
      <c r="A45" s="4" t="s">
        <v>85</v>
      </c>
      <c r="B45" s="4" t="s">
        <v>13</v>
      </c>
      <c r="C45" s="5">
        <v>2961700</v>
      </c>
      <c r="D45" s="3" t="s">
        <v>86</v>
      </c>
      <c r="E45" s="6">
        <v>151724</v>
      </c>
      <c r="F45" s="3" t="s">
        <v>276</v>
      </c>
      <c r="G45" s="4" t="s">
        <v>15</v>
      </c>
      <c r="H45" s="4" t="s">
        <v>16</v>
      </c>
      <c r="I45" s="4" t="s">
        <v>195</v>
      </c>
    </row>
    <row r="46" spans="1:9" x14ac:dyDescent="0.3">
      <c r="A46" s="4" t="s">
        <v>87</v>
      </c>
      <c r="B46" s="4" t="s">
        <v>25</v>
      </c>
      <c r="C46" s="5">
        <v>2361000</v>
      </c>
      <c r="D46" s="3" t="s">
        <v>88</v>
      </c>
      <c r="E46" s="6" t="s">
        <v>267</v>
      </c>
      <c r="F46" s="3" t="s">
        <v>266</v>
      </c>
      <c r="G46" s="4" t="s">
        <v>15</v>
      </c>
      <c r="H46" s="4" t="s">
        <v>27</v>
      </c>
      <c r="I46" s="4" t="s">
        <v>195</v>
      </c>
    </row>
    <row r="47" spans="1:9" x14ac:dyDescent="0.3">
      <c r="A47" s="4" t="s">
        <v>89</v>
      </c>
      <c r="B47" s="4" t="s">
        <v>13</v>
      </c>
      <c r="C47" s="5">
        <v>2628450</v>
      </c>
      <c r="D47" s="3" t="s">
        <v>90</v>
      </c>
      <c r="E47" s="6"/>
      <c r="F47" s="3"/>
      <c r="G47" s="4" t="s">
        <v>15</v>
      </c>
      <c r="H47" s="4" t="s">
        <v>16</v>
      </c>
      <c r="I47" s="4" t="s">
        <v>195</v>
      </c>
    </row>
    <row r="48" spans="1:9" x14ac:dyDescent="0.3">
      <c r="A48" s="4" t="s">
        <v>91</v>
      </c>
      <c r="B48" s="4" t="s">
        <v>9</v>
      </c>
      <c r="C48" s="5">
        <v>1430000</v>
      </c>
      <c r="D48" s="7" t="s">
        <v>92</v>
      </c>
      <c r="E48" s="6">
        <v>240288</v>
      </c>
      <c r="F48" s="3"/>
      <c r="G48" s="4" t="s">
        <v>11</v>
      </c>
      <c r="I48" s="4" t="s">
        <v>195</v>
      </c>
    </row>
    <row r="49" spans="1:9" x14ac:dyDescent="0.3">
      <c r="A49" s="4" t="s">
        <v>93</v>
      </c>
      <c r="B49" s="4" t="s">
        <v>13</v>
      </c>
      <c r="C49" s="5">
        <v>1827000</v>
      </c>
      <c r="D49" s="3" t="s">
        <v>259</v>
      </c>
      <c r="E49" s="6">
        <v>120305</v>
      </c>
      <c r="F49" s="3"/>
      <c r="G49" s="4" t="s">
        <v>15</v>
      </c>
      <c r="H49" s="4" t="s">
        <v>16</v>
      </c>
      <c r="I49" s="4" t="s">
        <v>195</v>
      </c>
    </row>
    <row r="50" spans="1:9" x14ac:dyDescent="0.3">
      <c r="A50" s="4" t="s">
        <v>95</v>
      </c>
      <c r="D50" s="7"/>
      <c r="E50" s="6"/>
      <c r="F50" s="3"/>
    </row>
    <row r="51" spans="1:9" x14ac:dyDescent="0.3">
      <c r="A51" s="4" t="s">
        <v>96</v>
      </c>
      <c r="B51" s="4" t="s">
        <v>13</v>
      </c>
      <c r="C51" s="5">
        <v>281900</v>
      </c>
      <c r="D51" s="7" t="s">
        <v>97</v>
      </c>
      <c r="E51" s="6">
        <v>143575</v>
      </c>
      <c r="F51" s="3" t="s">
        <v>269</v>
      </c>
      <c r="G51" s="4" t="s">
        <v>15</v>
      </c>
      <c r="H51" s="4" t="s">
        <v>16</v>
      </c>
      <c r="I51" s="4" t="s">
        <v>195</v>
      </c>
    </row>
    <row r="52" spans="1:9" x14ac:dyDescent="0.3">
      <c r="A52" s="4" t="s">
        <v>98</v>
      </c>
      <c r="D52" s="3"/>
      <c r="E52" s="6"/>
      <c r="F52" s="3"/>
    </row>
    <row r="53" spans="1:9" x14ac:dyDescent="0.3">
      <c r="A53" s="4" t="s">
        <v>100</v>
      </c>
      <c r="B53" s="4" t="s">
        <v>9</v>
      </c>
      <c r="C53" s="5">
        <v>1258800</v>
      </c>
      <c r="D53" s="8" t="s">
        <v>101</v>
      </c>
      <c r="E53" s="9">
        <v>7671273</v>
      </c>
      <c r="F53" s="7"/>
      <c r="G53" s="7" t="s">
        <v>11</v>
      </c>
      <c r="I53" s="4" t="s">
        <v>195</v>
      </c>
    </row>
    <row r="54" spans="1:9" x14ac:dyDescent="0.3">
      <c r="A54" s="4" t="s">
        <v>102</v>
      </c>
      <c r="B54" s="4" t="s">
        <v>9</v>
      </c>
      <c r="C54" s="5">
        <v>2050000</v>
      </c>
      <c r="D54" s="3" t="s">
        <v>189</v>
      </c>
      <c r="E54" s="6">
        <v>885632</v>
      </c>
      <c r="F54" s="3"/>
      <c r="G54" s="4" t="s">
        <v>11</v>
      </c>
      <c r="I54" s="4" t="s">
        <v>195</v>
      </c>
    </row>
    <row r="55" spans="1:9" x14ac:dyDescent="0.3">
      <c r="A55" s="4" t="s">
        <v>104</v>
      </c>
      <c r="B55" s="4" t="s">
        <v>9</v>
      </c>
      <c r="C55" s="5">
        <v>2529000</v>
      </c>
      <c r="D55" s="3" t="s">
        <v>105</v>
      </c>
      <c r="E55" s="6">
        <v>97199</v>
      </c>
      <c r="F55" s="3"/>
      <c r="G55" s="4" t="s">
        <v>11</v>
      </c>
      <c r="I55" s="4" t="s">
        <v>195</v>
      </c>
    </row>
    <row r="56" spans="1:9" x14ac:dyDescent="0.3">
      <c r="A56" s="4" t="s">
        <v>106</v>
      </c>
      <c r="B56" s="4" t="s">
        <v>13</v>
      </c>
      <c r="C56" s="5">
        <v>2836000</v>
      </c>
      <c r="D56" s="3" t="s">
        <v>107</v>
      </c>
      <c r="E56" s="6"/>
      <c r="F56" s="3"/>
      <c r="G56" s="4" t="s">
        <v>15</v>
      </c>
      <c r="H56" s="4" t="s">
        <v>16</v>
      </c>
      <c r="I56" s="4" t="s">
        <v>195</v>
      </c>
    </row>
    <row r="57" spans="1:9" x14ac:dyDescent="0.3">
      <c r="A57" s="4" t="s">
        <v>108</v>
      </c>
      <c r="B57" s="4" t="s">
        <v>13</v>
      </c>
      <c r="C57" s="5">
        <v>3025560</v>
      </c>
      <c r="D57" s="7" t="s">
        <v>135</v>
      </c>
      <c r="E57" s="6">
        <v>22889971</v>
      </c>
      <c r="F57" s="3"/>
      <c r="G57" s="4" t="s">
        <v>15</v>
      </c>
      <c r="H57" s="4" t="s">
        <v>16</v>
      </c>
      <c r="I57" s="4" t="s">
        <v>195</v>
      </c>
    </row>
    <row r="58" spans="1:9" x14ac:dyDescent="0.3">
      <c r="A58" s="4" t="s">
        <v>109</v>
      </c>
      <c r="B58" s="4" t="s">
        <v>13</v>
      </c>
      <c r="C58" s="5">
        <v>2058050</v>
      </c>
      <c r="D58" s="3" t="s">
        <v>213</v>
      </c>
      <c r="E58" s="6"/>
      <c r="F58" s="3"/>
      <c r="G58" s="4" t="s">
        <v>15</v>
      </c>
      <c r="H58" s="4" t="s">
        <v>16</v>
      </c>
      <c r="I58" s="4" t="s">
        <v>195</v>
      </c>
    </row>
    <row r="59" spans="1:9" x14ac:dyDescent="0.3">
      <c r="A59" s="4" t="s">
        <v>111</v>
      </c>
      <c r="B59" s="4" t="s">
        <v>25</v>
      </c>
      <c r="C59" s="5">
        <v>1407500</v>
      </c>
      <c r="D59" s="16" t="s">
        <v>158</v>
      </c>
      <c r="E59" s="15" t="s">
        <v>270</v>
      </c>
      <c r="F59" s="16" t="s">
        <v>199</v>
      </c>
      <c r="G59" s="4" t="s">
        <v>15</v>
      </c>
      <c r="H59" s="4" t="s">
        <v>27</v>
      </c>
      <c r="I59" s="4" t="s">
        <v>195</v>
      </c>
    </row>
    <row r="60" spans="1:9" x14ac:dyDescent="0.3">
      <c r="A60" s="4" t="s">
        <v>111</v>
      </c>
      <c r="B60" s="4" t="s">
        <v>13</v>
      </c>
      <c r="C60" s="5">
        <v>800000</v>
      </c>
      <c r="D60" s="16" t="s">
        <v>132</v>
      </c>
      <c r="E60" s="15"/>
      <c r="F60" s="16" t="s">
        <v>271</v>
      </c>
      <c r="G60" s="4" t="s">
        <v>15</v>
      </c>
      <c r="H60" s="4" t="s">
        <v>16</v>
      </c>
      <c r="I60" s="4" t="s">
        <v>195</v>
      </c>
    </row>
    <row r="61" spans="1:9" x14ac:dyDescent="0.3">
      <c r="A61" s="4" t="s">
        <v>113</v>
      </c>
      <c r="B61" s="4" t="s">
        <v>25</v>
      </c>
      <c r="C61" s="5">
        <v>4938670</v>
      </c>
      <c r="D61" s="3" t="s">
        <v>92</v>
      </c>
      <c r="E61" s="15" t="s">
        <v>263</v>
      </c>
      <c r="F61" s="16" t="s">
        <v>264</v>
      </c>
      <c r="G61" s="4" t="s">
        <v>15</v>
      </c>
      <c r="H61" s="4" t="s">
        <v>27</v>
      </c>
      <c r="I61" s="4" t="s">
        <v>195</v>
      </c>
    </row>
    <row r="62" spans="1:9" s="10" customFormat="1" ht="15" thickBot="1" x14ac:dyDescent="0.35">
      <c r="A62" s="10" t="s">
        <v>114</v>
      </c>
      <c r="B62" s="4"/>
      <c r="C62" s="11">
        <f>SUM(C2:C61)</f>
        <v>104849655</v>
      </c>
      <c r="D62" s="4"/>
    </row>
    <row r="63" spans="1:9" ht="15" thickTop="1" x14ac:dyDescent="0.3"/>
    <row r="68" spans="4:4" x14ac:dyDescent="0.3">
      <c r="D68" s="12"/>
    </row>
  </sheetData>
  <conditionalFormatting sqref="F14:F15 I20:I27">
    <cfRule type="containsText" dxfId="713" priority="91" operator="containsText" text="No">
      <formula>NOT(ISERROR(SEARCH("No",F14)))</formula>
    </cfRule>
    <cfRule type="containsText" dxfId="712" priority="92" operator="containsText" text="Yes">
      <formula>NOT(ISERROR(SEARCH("Yes",F14)))</formula>
    </cfRule>
  </conditionalFormatting>
  <conditionalFormatting sqref="G1">
    <cfRule type="containsText" dxfId="711" priority="107" operator="containsText" text="No">
      <formula>NOT(ISERROR(SEARCH("No",G1)))</formula>
    </cfRule>
    <cfRule type="containsText" dxfId="710" priority="108" operator="containsText" text="Yes">
      <formula>NOT(ISERROR(SEARCH("Yes",G1)))</formula>
    </cfRule>
  </conditionalFormatting>
  <conditionalFormatting sqref="G16 G19">
    <cfRule type="containsText" dxfId="709" priority="97" operator="containsText" text="No">
      <formula>NOT(ISERROR(SEARCH("No",G16)))</formula>
    </cfRule>
    <cfRule type="containsText" dxfId="708" priority="98" operator="containsText" text="Yes">
      <formula>NOT(ISERROR(SEARCH("Yes",G16)))</formula>
    </cfRule>
  </conditionalFormatting>
  <conditionalFormatting sqref="G29">
    <cfRule type="containsText" dxfId="707" priority="95" operator="containsText" text="No">
      <formula>NOT(ISERROR(SEARCH("No",G29)))</formula>
    </cfRule>
    <cfRule type="containsText" dxfId="706" priority="96" operator="containsText" text="Yes">
      <formula>NOT(ISERROR(SEARCH("Yes",G29)))</formula>
    </cfRule>
  </conditionalFormatting>
  <conditionalFormatting sqref="G40">
    <cfRule type="containsText" dxfId="705" priority="111" operator="containsText" text="No">
      <formula>NOT(ISERROR(SEARCH("No",G40)))</formula>
    </cfRule>
    <cfRule type="containsText" dxfId="704" priority="112" operator="containsText" text="Yes">
      <formula>NOT(ISERROR(SEARCH("Yes",G40)))</formula>
    </cfRule>
  </conditionalFormatting>
  <conditionalFormatting sqref="G43">
    <cfRule type="containsText" dxfId="703" priority="105" operator="containsText" text="No">
      <formula>NOT(ISERROR(SEARCH("No",G43)))</formula>
    </cfRule>
    <cfRule type="containsText" dxfId="702" priority="106" operator="containsText" text="Yes">
      <formula>NOT(ISERROR(SEARCH("Yes",G43)))</formula>
    </cfRule>
  </conditionalFormatting>
  <conditionalFormatting sqref="G52">
    <cfRule type="containsText" dxfId="701" priority="103" operator="containsText" text="No">
      <formula>NOT(ISERROR(SEARCH("No",G52)))</formula>
    </cfRule>
    <cfRule type="containsText" dxfId="700" priority="104" operator="containsText" text="Yes">
      <formula>NOT(ISERROR(SEARCH("Yes",G52)))</formula>
    </cfRule>
  </conditionalFormatting>
  <conditionalFormatting sqref="G62:G1048576">
    <cfRule type="containsText" dxfId="699" priority="109" operator="containsText" text="No">
      <formula>NOT(ISERROR(SEARCH("No",G62)))</formula>
    </cfRule>
    <cfRule type="containsText" dxfId="698" priority="110" operator="containsText" text="Yes">
      <formula>NOT(ISERROR(SEARCH("Yes",G62)))</formula>
    </cfRule>
  </conditionalFormatting>
  <conditionalFormatting sqref="G2:H7">
    <cfRule type="containsText" dxfId="697" priority="5" operator="containsText" text="No">
      <formula>NOT(ISERROR(SEARCH("No",G2)))</formula>
    </cfRule>
    <cfRule type="containsText" dxfId="696" priority="6" operator="containsText" text="Yes">
      <formula>NOT(ISERROR(SEARCH("Yes",G2)))</formula>
    </cfRule>
  </conditionalFormatting>
  <conditionalFormatting sqref="G20:H28">
    <cfRule type="containsText" dxfId="695" priority="17" operator="containsText" text="No">
      <formula>NOT(ISERROR(SEARCH("No",G20)))</formula>
    </cfRule>
    <cfRule type="containsText" dxfId="694" priority="18" operator="containsText" text="Yes">
      <formula>NOT(ISERROR(SEARCH("Yes",G20)))</formula>
    </cfRule>
  </conditionalFormatting>
  <conditionalFormatting sqref="G30:H39">
    <cfRule type="containsText" dxfId="693" priority="9" operator="containsText" text="No">
      <formula>NOT(ISERROR(SEARCH("No",G30)))</formula>
    </cfRule>
    <cfRule type="containsText" dxfId="692" priority="10" operator="containsText" text="Yes">
      <formula>NOT(ISERROR(SEARCH("Yes",G30)))</formula>
    </cfRule>
  </conditionalFormatting>
  <conditionalFormatting sqref="G41:H42">
    <cfRule type="containsText" dxfId="691" priority="89" operator="containsText" text="No">
      <formula>NOT(ISERROR(SEARCH("No",G41)))</formula>
    </cfRule>
    <cfRule type="containsText" dxfId="690" priority="90" operator="containsText" text="Yes">
      <formula>NOT(ISERROR(SEARCH("Yes",G41)))</formula>
    </cfRule>
  </conditionalFormatting>
  <conditionalFormatting sqref="G44:H51">
    <cfRule type="containsText" dxfId="689" priority="3" operator="containsText" text="No">
      <formula>NOT(ISERROR(SEARCH("No",G44)))</formula>
    </cfRule>
    <cfRule type="containsText" dxfId="688" priority="4" operator="containsText" text="Yes">
      <formula>NOT(ISERROR(SEARCH("Yes",G44)))</formula>
    </cfRule>
  </conditionalFormatting>
  <conditionalFormatting sqref="G53:H61">
    <cfRule type="containsText" dxfId="687" priority="11" operator="containsText" text="No">
      <formula>NOT(ISERROR(SEARCH("No",G53)))</formula>
    </cfRule>
    <cfRule type="containsText" dxfId="686" priority="12" operator="containsText" text="Yes">
      <formula>NOT(ISERROR(SEARCH("Yes",G53)))</formula>
    </cfRule>
  </conditionalFormatting>
  <conditionalFormatting sqref="G8:I15">
    <cfRule type="containsText" dxfId="685" priority="1" operator="containsText" text="No">
      <formula>NOT(ISERROR(SEARCH("No",G8)))</formula>
    </cfRule>
    <cfRule type="containsText" dxfId="684" priority="2" operator="containsText" text="Yes">
      <formula>NOT(ISERROR(SEARCH("Yes",G8)))</formula>
    </cfRule>
  </conditionalFormatting>
  <conditionalFormatting sqref="G17:I18">
    <cfRule type="containsText" dxfId="683" priority="43" operator="containsText" text="No">
      <formula>NOT(ISERROR(SEARCH("No",G17)))</formula>
    </cfRule>
    <cfRule type="containsText" dxfId="682" priority="44" operator="containsText" text="Yes">
      <formula>NOT(ISERROR(SEARCH("Yes",G17)))</formula>
    </cfRule>
  </conditionalFormatting>
  <conditionalFormatting sqref="H28">
    <cfRule type="containsText" dxfId="681" priority="99" operator="containsText" text="No">
      <formula>NOT(ISERROR(SEARCH("No",H28)))</formula>
    </cfRule>
    <cfRule type="containsText" dxfId="680" priority="100" operator="containsText" text="Yes">
      <formula>NOT(ISERROR(SEARCH("Yes",H28)))</formula>
    </cfRule>
  </conditionalFormatting>
  <conditionalFormatting sqref="I20">
    <cfRule type="containsText" dxfId="679" priority="101" operator="containsText" text="No">
      <formula>NOT(ISERROR(SEARCH("No",I20)))</formula>
    </cfRule>
    <cfRule type="containsText" dxfId="678" priority="102" operator="containsText" text="Yes">
      <formula>NOT(ISERROR(SEARCH("Yes",I20)))</formula>
    </cfRule>
  </conditionalFormatting>
  <conditionalFormatting sqref="I30">
    <cfRule type="containsText" dxfId="677" priority="93" operator="containsText" text="No">
      <formula>NOT(ISERROR(SEARCH("No",I30)))</formula>
    </cfRule>
    <cfRule type="containsText" dxfId="676" priority="94" operator="containsText" text="Yes">
      <formula>NOT(ISERROR(SEARCH("Yes",I30)))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68"/>
  <sheetViews>
    <sheetView topLeftCell="A37" workbookViewId="0">
      <selection activeCell="C43" sqref="C43"/>
    </sheetView>
  </sheetViews>
  <sheetFormatPr defaultColWidth="10" defaultRowHeight="14.4" x14ac:dyDescent="0.3"/>
  <cols>
    <col min="1" max="1" width="17.5546875" style="4" bestFit="1" customWidth="1"/>
    <col min="2" max="2" width="12.33203125" style="4" bestFit="1" customWidth="1"/>
    <col min="3" max="3" width="18.5546875" style="5" bestFit="1" customWidth="1"/>
    <col min="4" max="4" width="23.88671875" style="4" bestFit="1" customWidth="1"/>
    <col min="5" max="5" width="16.6640625" style="4" bestFit="1" customWidth="1"/>
    <col min="6" max="6" width="14.6640625" style="4" bestFit="1" customWidth="1"/>
    <col min="7" max="7" width="14.6640625" style="4" customWidth="1"/>
    <col min="8" max="8" width="12.109375" style="4" bestFit="1" customWidth="1"/>
    <col min="9" max="9" width="4.33203125" style="4" customWidth="1"/>
    <col min="10" max="16384" width="10" style="4"/>
  </cols>
  <sheetData>
    <row r="1" spans="1:9" s="1" customForma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s="1" customFormat="1" x14ac:dyDescent="0.3">
      <c r="A2" s="3" t="s">
        <v>8</v>
      </c>
      <c r="B2" s="4" t="s">
        <v>9</v>
      </c>
      <c r="C2" s="5">
        <v>2140200</v>
      </c>
      <c r="D2" s="3" t="s">
        <v>10</v>
      </c>
      <c r="E2" s="6">
        <v>360932</v>
      </c>
      <c r="F2" s="3"/>
      <c r="G2" s="4" t="s">
        <v>11</v>
      </c>
      <c r="H2" s="4"/>
      <c r="I2" s="16"/>
    </row>
    <row r="3" spans="1:9" x14ac:dyDescent="0.3">
      <c r="A3" s="4" t="s">
        <v>12</v>
      </c>
      <c r="B3" s="4" t="s">
        <v>13</v>
      </c>
      <c r="C3" s="5">
        <v>1236050</v>
      </c>
      <c r="D3" s="3" t="s">
        <v>14</v>
      </c>
      <c r="E3" s="6"/>
      <c r="F3" s="16"/>
      <c r="G3" s="4" t="s">
        <v>15</v>
      </c>
      <c r="H3" s="4" t="s">
        <v>16</v>
      </c>
    </row>
    <row r="4" spans="1:9" x14ac:dyDescent="0.3">
      <c r="A4" s="4" t="s">
        <v>17</v>
      </c>
      <c r="D4" s="16"/>
      <c r="E4" s="6"/>
      <c r="F4" s="3"/>
    </row>
    <row r="5" spans="1:9" x14ac:dyDescent="0.3">
      <c r="A5" s="4" t="s">
        <v>18</v>
      </c>
      <c r="B5" s="4" t="s">
        <v>13</v>
      </c>
      <c r="C5" s="5">
        <v>1164620</v>
      </c>
      <c r="D5" s="3" t="s">
        <v>19</v>
      </c>
      <c r="E5" s="6">
        <v>23480844</v>
      </c>
      <c r="F5" s="3"/>
      <c r="G5" s="4" t="s">
        <v>15</v>
      </c>
      <c r="H5" s="4" t="s">
        <v>16</v>
      </c>
    </row>
    <row r="6" spans="1:9" x14ac:dyDescent="0.3">
      <c r="A6" s="4" t="s">
        <v>20</v>
      </c>
      <c r="B6" s="4" t="s">
        <v>13</v>
      </c>
      <c r="C6" s="5">
        <v>795600</v>
      </c>
      <c r="D6" s="3" t="s">
        <v>21</v>
      </c>
      <c r="E6" s="6">
        <v>25461442</v>
      </c>
      <c r="F6" s="3"/>
      <c r="G6" s="4" t="s">
        <v>15</v>
      </c>
      <c r="H6" s="4" t="s">
        <v>16</v>
      </c>
    </row>
    <row r="7" spans="1:9" x14ac:dyDescent="0.3">
      <c r="A7" s="4" t="s">
        <v>22</v>
      </c>
      <c r="B7" s="4" t="s">
        <v>13</v>
      </c>
      <c r="C7" s="5">
        <v>1289200</v>
      </c>
      <c r="D7" s="3" t="s">
        <v>23</v>
      </c>
      <c r="E7" s="6">
        <v>23480715</v>
      </c>
      <c r="F7" s="3"/>
      <c r="G7" s="4" t="s">
        <v>15</v>
      </c>
      <c r="H7" s="4" t="s">
        <v>16</v>
      </c>
    </row>
    <row r="8" spans="1:9" x14ac:dyDescent="0.3">
      <c r="A8" s="4" t="s">
        <v>24</v>
      </c>
      <c r="B8" s="4" t="s">
        <v>25</v>
      </c>
      <c r="C8" s="5">
        <v>618650</v>
      </c>
      <c r="D8" s="16" t="s">
        <v>26</v>
      </c>
      <c r="E8" s="6" t="s">
        <v>288</v>
      </c>
      <c r="F8" s="3" t="s">
        <v>289</v>
      </c>
      <c r="G8" s="4" t="s">
        <v>15</v>
      </c>
      <c r="H8" s="4" t="s">
        <v>27</v>
      </c>
    </row>
    <row r="9" spans="1:9" x14ac:dyDescent="0.3">
      <c r="A9" s="4" t="s">
        <v>28</v>
      </c>
      <c r="B9" s="4" t="s">
        <v>13</v>
      </c>
      <c r="C9" s="5">
        <v>1246750</v>
      </c>
      <c r="D9" s="3" t="s">
        <v>29</v>
      </c>
      <c r="E9" s="6">
        <v>23480833</v>
      </c>
      <c r="F9" s="3"/>
      <c r="G9" s="4" t="s">
        <v>15</v>
      </c>
      <c r="H9" s="4" t="s">
        <v>16</v>
      </c>
    </row>
    <row r="10" spans="1:9" x14ac:dyDescent="0.3">
      <c r="A10" s="4" t="s">
        <v>30</v>
      </c>
      <c r="B10" s="4" t="s">
        <v>25</v>
      </c>
      <c r="C10" s="5">
        <v>3793150</v>
      </c>
      <c r="D10" s="3" t="s">
        <v>136</v>
      </c>
      <c r="E10" s="6"/>
      <c r="F10" s="16"/>
      <c r="G10" s="4" t="s">
        <v>15</v>
      </c>
      <c r="H10" s="4" t="s">
        <v>27</v>
      </c>
    </row>
    <row r="11" spans="1:9" x14ac:dyDescent="0.3">
      <c r="A11" s="4" t="s">
        <v>31</v>
      </c>
      <c r="D11" s="3"/>
      <c r="E11" s="6"/>
      <c r="F11" s="3"/>
    </row>
    <row r="12" spans="1:9" x14ac:dyDescent="0.3">
      <c r="A12" s="4" t="s">
        <v>32</v>
      </c>
      <c r="B12" s="4" t="s">
        <v>9</v>
      </c>
      <c r="C12" s="5">
        <v>3196150</v>
      </c>
      <c r="D12" s="16" t="s">
        <v>137</v>
      </c>
      <c r="E12" s="6">
        <v>4577486</v>
      </c>
      <c r="F12" s="3"/>
      <c r="G12" s="4" t="s">
        <v>11</v>
      </c>
    </row>
    <row r="13" spans="1:9" x14ac:dyDescent="0.3">
      <c r="A13" s="4" t="s">
        <v>33</v>
      </c>
      <c r="B13" s="4" t="s">
        <v>13</v>
      </c>
      <c r="C13" s="5">
        <v>1222000</v>
      </c>
      <c r="D13" s="3" t="s">
        <v>34</v>
      </c>
      <c r="E13" s="6"/>
      <c r="F13" s="3"/>
      <c r="G13" s="4" t="s">
        <v>15</v>
      </c>
      <c r="H13" s="4" t="s">
        <v>16</v>
      </c>
    </row>
    <row r="14" spans="1:9" x14ac:dyDescent="0.3">
      <c r="A14" s="4" t="s">
        <v>35</v>
      </c>
      <c r="B14" s="4" t="s">
        <v>13</v>
      </c>
      <c r="C14" s="5">
        <v>340300</v>
      </c>
      <c r="D14" s="3" t="s">
        <v>36</v>
      </c>
      <c r="E14" s="6">
        <v>130431</v>
      </c>
      <c r="F14" s="4" t="s">
        <v>290</v>
      </c>
      <c r="G14" s="4" t="s">
        <v>15</v>
      </c>
      <c r="H14" s="4" t="s">
        <v>16</v>
      </c>
    </row>
    <row r="15" spans="1:9" x14ac:dyDescent="0.3">
      <c r="A15" s="4" t="s">
        <v>37</v>
      </c>
      <c r="B15" s="4" t="s">
        <v>13</v>
      </c>
      <c r="C15" s="5">
        <v>1302130</v>
      </c>
      <c r="D15" s="3" t="s">
        <v>38</v>
      </c>
      <c r="E15" s="6"/>
      <c r="G15" s="4" t="s">
        <v>15</v>
      </c>
      <c r="H15" s="4" t="s">
        <v>16</v>
      </c>
    </row>
    <row r="16" spans="1:9" x14ac:dyDescent="0.3">
      <c r="A16" s="4" t="s">
        <v>39</v>
      </c>
      <c r="D16" s="3"/>
      <c r="E16" s="6"/>
      <c r="F16" s="3"/>
    </row>
    <row r="17" spans="1:9" x14ac:dyDescent="0.3">
      <c r="A17" s="4" t="s">
        <v>40</v>
      </c>
      <c r="B17" s="4" t="s">
        <v>13</v>
      </c>
      <c r="C17" s="5">
        <v>1569000</v>
      </c>
      <c r="D17" s="3" t="s">
        <v>41</v>
      </c>
      <c r="E17" s="6"/>
      <c r="F17" s="3"/>
      <c r="G17" s="4" t="s">
        <v>15</v>
      </c>
      <c r="H17" s="4" t="s">
        <v>16</v>
      </c>
    </row>
    <row r="18" spans="1:9" x14ac:dyDescent="0.3">
      <c r="A18" s="4" t="s">
        <v>42</v>
      </c>
      <c r="B18" s="4" t="s">
        <v>13</v>
      </c>
      <c r="C18" s="5">
        <v>883400</v>
      </c>
      <c r="D18" s="3" t="s">
        <v>128</v>
      </c>
      <c r="E18" s="6"/>
      <c r="F18" s="3"/>
      <c r="G18" s="4" t="s">
        <v>15</v>
      </c>
      <c r="H18" s="4" t="s">
        <v>16</v>
      </c>
    </row>
    <row r="19" spans="1:9" x14ac:dyDescent="0.3">
      <c r="A19" s="4" t="s">
        <v>43</v>
      </c>
      <c r="D19" s="3"/>
      <c r="E19" s="6"/>
      <c r="F19" s="3"/>
    </row>
    <row r="20" spans="1:9" x14ac:dyDescent="0.3">
      <c r="A20" s="4" t="s">
        <v>44</v>
      </c>
      <c r="B20" s="4" t="s">
        <v>25</v>
      </c>
      <c r="C20" s="5">
        <v>2506500</v>
      </c>
      <c r="D20" s="3" t="s">
        <v>45</v>
      </c>
      <c r="E20" s="15" t="s">
        <v>292</v>
      </c>
      <c r="F20" s="16" t="s">
        <v>293</v>
      </c>
      <c r="G20" s="4" t="s">
        <v>15</v>
      </c>
      <c r="H20" s="4" t="s">
        <v>27</v>
      </c>
      <c r="I20" s="18"/>
    </row>
    <row r="21" spans="1:9" x14ac:dyDescent="0.3">
      <c r="A21" s="4" t="s">
        <v>46</v>
      </c>
      <c r="B21" s="4" t="s">
        <v>25</v>
      </c>
      <c r="C21" s="5">
        <v>1376400</v>
      </c>
      <c r="D21" s="3" t="s">
        <v>47</v>
      </c>
      <c r="E21" s="6" t="s">
        <v>278</v>
      </c>
      <c r="F21" s="3" t="s">
        <v>279</v>
      </c>
      <c r="G21" s="4" t="s">
        <v>15</v>
      </c>
      <c r="H21" s="4" t="s">
        <v>27</v>
      </c>
    </row>
    <row r="22" spans="1:9" x14ac:dyDescent="0.3">
      <c r="A22" s="4" t="s">
        <v>49</v>
      </c>
      <c r="B22" s="4" t="s">
        <v>13</v>
      </c>
      <c r="C22" s="5">
        <v>1609600</v>
      </c>
      <c r="D22" s="3" t="s">
        <v>50</v>
      </c>
      <c r="E22" s="6"/>
      <c r="F22" s="3"/>
      <c r="G22" s="4" t="s">
        <v>15</v>
      </c>
      <c r="H22" s="4" t="s">
        <v>16</v>
      </c>
    </row>
    <row r="23" spans="1:9" x14ac:dyDescent="0.3">
      <c r="A23" s="4" t="s">
        <v>51</v>
      </c>
      <c r="B23" s="4" t="s">
        <v>13</v>
      </c>
      <c r="C23" s="5">
        <v>2707050</v>
      </c>
      <c r="D23" s="5" t="s">
        <v>207</v>
      </c>
      <c r="E23" s="6">
        <v>120753</v>
      </c>
      <c r="F23" s="3" t="s">
        <v>280</v>
      </c>
      <c r="G23" s="4" t="s">
        <v>15</v>
      </c>
      <c r="H23" s="4" t="s">
        <v>16</v>
      </c>
    </row>
    <row r="24" spans="1:9" x14ac:dyDescent="0.3">
      <c r="A24" s="4" t="s">
        <v>52</v>
      </c>
      <c r="D24" s="3"/>
      <c r="E24" s="6"/>
      <c r="F24" s="3"/>
    </row>
    <row r="25" spans="1:9" x14ac:dyDescent="0.3">
      <c r="A25" s="4" t="s">
        <v>53</v>
      </c>
      <c r="D25" s="3"/>
      <c r="E25" s="6"/>
      <c r="F25" s="3"/>
    </row>
    <row r="26" spans="1:9" x14ac:dyDescent="0.3">
      <c r="A26" s="4" t="s">
        <v>55</v>
      </c>
      <c r="B26" s="4" t="s">
        <v>13</v>
      </c>
      <c r="C26" s="5">
        <v>919200</v>
      </c>
      <c r="D26" s="3" t="s">
        <v>56</v>
      </c>
      <c r="E26" s="6">
        <v>118849</v>
      </c>
      <c r="F26" s="3" t="s">
        <v>238</v>
      </c>
      <c r="G26" s="4" t="s">
        <v>15</v>
      </c>
      <c r="H26" s="4" t="s">
        <v>16</v>
      </c>
    </row>
    <row r="27" spans="1:9" x14ac:dyDescent="0.3">
      <c r="A27" s="4" t="s">
        <v>57</v>
      </c>
      <c r="B27" s="4" t="s">
        <v>13</v>
      </c>
      <c r="C27" s="5">
        <v>529315</v>
      </c>
      <c r="D27" s="3" t="s">
        <v>58</v>
      </c>
      <c r="E27" s="6"/>
      <c r="F27" s="3"/>
      <c r="G27" s="4" t="s">
        <v>15</v>
      </c>
      <c r="H27" s="4" t="s">
        <v>16</v>
      </c>
    </row>
    <row r="28" spans="1:9" x14ac:dyDescent="0.3">
      <c r="A28" s="4" t="s">
        <v>59</v>
      </c>
      <c r="D28" s="3"/>
      <c r="E28" s="6"/>
      <c r="F28" s="3"/>
      <c r="G28" s="7"/>
      <c r="H28" s="5"/>
    </row>
    <row r="29" spans="1:9" x14ac:dyDescent="0.3">
      <c r="A29" s="4" t="s">
        <v>60</v>
      </c>
      <c r="D29" s="3"/>
      <c r="E29" s="6"/>
      <c r="F29" s="3"/>
    </row>
    <row r="30" spans="1:9" x14ac:dyDescent="0.3">
      <c r="A30" s="4" t="s">
        <v>61</v>
      </c>
      <c r="B30" s="4" t="s">
        <v>13</v>
      </c>
      <c r="C30" s="5">
        <v>1495550</v>
      </c>
      <c r="D30" s="3" t="s">
        <v>243</v>
      </c>
      <c r="E30" s="6">
        <v>22769184</v>
      </c>
      <c r="F30" s="3"/>
      <c r="G30" s="4" t="s">
        <v>15</v>
      </c>
      <c r="H30" s="4" t="s">
        <v>16</v>
      </c>
    </row>
    <row r="31" spans="1:9" x14ac:dyDescent="0.3">
      <c r="A31" s="4" t="s">
        <v>63</v>
      </c>
      <c r="D31" s="3"/>
      <c r="E31" s="6"/>
      <c r="F31" s="3"/>
    </row>
    <row r="32" spans="1:9" x14ac:dyDescent="0.3">
      <c r="A32" s="4" t="s">
        <v>64</v>
      </c>
      <c r="B32" s="4" t="s">
        <v>13</v>
      </c>
      <c r="C32" s="5">
        <v>828600</v>
      </c>
      <c r="D32" s="3" t="s">
        <v>130</v>
      </c>
      <c r="E32" s="6">
        <v>23480835</v>
      </c>
      <c r="F32" s="3"/>
      <c r="G32" s="4" t="s">
        <v>15</v>
      </c>
      <c r="H32" s="4" t="s">
        <v>16</v>
      </c>
    </row>
    <row r="33" spans="1:8" x14ac:dyDescent="0.3">
      <c r="A33" s="4" t="s">
        <v>65</v>
      </c>
      <c r="D33" s="7"/>
      <c r="E33" s="6"/>
      <c r="F33" s="3"/>
    </row>
    <row r="34" spans="1:8" x14ac:dyDescent="0.3">
      <c r="A34" s="4" t="s">
        <v>67</v>
      </c>
      <c r="B34" s="4" t="s">
        <v>13</v>
      </c>
      <c r="C34" s="5">
        <v>842000</v>
      </c>
      <c r="D34" s="3" t="s">
        <v>68</v>
      </c>
      <c r="E34" s="6">
        <v>23480834</v>
      </c>
      <c r="F34" s="3"/>
      <c r="G34" s="4" t="s">
        <v>15</v>
      </c>
      <c r="H34" s="4" t="s">
        <v>16</v>
      </c>
    </row>
    <row r="35" spans="1:8" x14ac:dyDescent="0.3">
      <c r="A35" s="4" t="s">
        <v>69</v>
      </c>
      <c r="D35" s="3"/>
      <c r="E35" s="6"/>
      <c r="F35" s="3"/>
    </row>
    <row r="36" spans="1:8" x14ac:dyDescent="0.3">
      <c r="A36" s="4" t="s">
        <v>71</v>
      </c>
      <c r="B36" s="4" t="s">
        <v>25</v>
      </c>
      <c r="C36" s="5">
        <v>3940950</v>
      </c>
      <c r="D36" s="7" t="s">
        <v>72</v>
      </c>
      <c r="E36" s="6"/>
      <c r="F36" s="3"/>
      <c r="G36" s="17" t="s">
        <v>15</v>
      </c>
      <c r="H36" s="4" t="s">
        <v>27</v>
      </c>
    </row>
    <row r="37" spans="1:8" x14ac:dyDescent="0.3">
      <c r="A37" s="4" t="s">
        <v>73</v>
      </c>
      <c r="B37" s="4" t="s">
        <v>13</v>
      </c>
      <c r="C37" s="5">
        <v>1640600</v>
      </c>
      <c r="D37" s="3" t="s">
        <v>74</v>
      </c>
      <c r="E37" s="6">
        <v>139322</v>
      </c>
      <c r="F37" s="3" t="s">
        <v>285</v>
      </c>
      <c r="G37" s="4" t="s">
        <v>15</v>
      </c>
      <c r="H37" s="4" t="s">
        <v>16</v>
      </c>
    </row>
    <row r="38" spans="1:8" x14ac:dyDescent="0.3">
      <c r="A38" s="4" t="s">
        <v>75</v>
      </c>
      <c r="D38" s="3"/>
      <c r="E38" s="6"/>
      <c r="F38" s="3"/>
    </row>
    <row r="39" spans="1:8" x14ac:dyDescent="0.3">
      <c r="A39" s="4" t="s">
        <v>76</v>
      </c>
      <c r="B39" s="4" t="s">
        <v>25</v>
      </c>
      <c r="C39" s="5">
        <v>1361350</v>
      </c>
      <c r="D39" s="3" t="s">
        <v>77</v>
      </c>
      <c r="E39" s="6" t="s">
        <v>282</v>
      </c>
      <c r="F39" s="3" t="s">
        <v>283</v>
      </c>
      <c r="G39" s="4" t="s">
        <v>15</v>
      </c>
      <c r="H39" s="4" t="s">
        <v>27</v>
      </c>
    </row>
    <row r="40" spans="1:8" x14ac:dyDescent="0.3">
      <c r="A40" s="4" t="s">
        <v>78</v>
      </c>
      <c r="D40" s="3"/>
      <c r="E40" s="6"/>
      <c r="F40" s="3"/>
    </row>
    <row r="41" spans="1:8" x14ac:dyDescent="0.3">
      <c r="A41" s="4" t="s">
        <v>79</v>
      </c>
      <c r="B41" s="4" t="s">
        <v>9</v>
      </c>
      <c r="C41" s="5">
        <v>7000000</v>
      </c>
      <c r="D41" s="16" t="s">
        <v>201</v>
      </c>
      <c r="E41" s="6">
        <v>4741302</v>
      </c>
      <c r="F41" s="3"/>
      <c r="G41" s="4" t="s">
        <v>11</v>
      </c>
    </row>
    <row r="42" spans="1:8" x14ac:dyDescent="0.3">
      <c r="A42" s="4" t="s">
        <v>80</v>
      </c>
      <c r="D42" s="7"/>
      <c r="E42" s="6"/>
      <c r="F42" s="3"/>
    </row>
    <row r="43" spans="1:8" x14ac:dyDescent="0.3">
      <c r="A43" s="4" t="s">
        <v>81</v>
      </c>
      <c r="B43" s="4" t="s">
        <v>9</v>
      </c>
      <c r="C43" s="5">
        <v>903900</v>
      </c>
      <c r="D43" s="3" t="s">
        <v>82</v>
      </c>
      <c r="E43" s="6">
        <v>2126311</v>
      </c>
      <c r="F43" s="3"/>
      <c r="G43" s="4" t="s">
        <v>11</v>
      </c>
    </row>
    <row r="44" spans="1:8" x14ac:dyDescent="0.3">
      <c r="A44" s="4" t="s">
        <v>83</v>
      </c>
      <c r="D44" s="16"/>
      <c r="E44" s="6"/>
      <c r="F44" s="16"/>
    </row>
    <row r="45" spans="1:8" x14ac:dyDescent="0.3">
      <c r="A45" s="4" t="s">
        <v>85</v>
      </c>
      <c r="B45" s="4" t="s">
        <v>13</v>
      </c>
      <c r="C45" s="5">
        <v>2794300</v>
      </c>
      <c r="D45" s="3" t="s">
        <v>86</v>
      </c>
      <c r="E45" s="6">
        <v>149310</v>
      </c>
      <c r="F45" s="3" t="s">
        <v>291</v>
      </c>
      <c r="G45" s="4" t="s">
        <v>15</v>
      </c>
      <c r="H45" s="4" t="s">
        <v>16</v>
      </c>
    </row>
    <row r="46" spans="1:8" x14ac:dyDescent="0.3">
      <c r="A46" s="4" t="s">
        <v>87</v>
      </c>
      <c r="B46" s="4" t="s">
        <v>25</v>
      </c>
      <c r="C46" s="5">
        <v>2588500</v>
      </c>
      <c r="D46" s="3" t="s">
        <v>88</v>
      </c>
      <c r="E46" s="6" t="s">
        <v>286</v>
      </c>
      <c r="F46" s="3" t="s">
        <v>287</v>
      </c>
      <c r="G46" s="4" t="s">
        <v>15</v>
      </c>
      <c r="H46" s="4" t="s">
        <v>27</v>
      </c>
    </row>
    <row r="47" spans="1:8" x14ac:dyDescent="0.3">
      <c r="A47" s="4" t="s">
        <v>89</v>
      </c>
      <c r="B47" s="4" t="s">
        <v>13</v>
      </c>
      <c r="C47" s="5">
        <v>2435600</v>
      </c>
      <c r="D47" s="3" t="s">
        <v>90</v>
      </c>
      <c r="E47" s="6"/>
      <c r="F47" s="3"/>
      <c r="G47" s="4" t="s">
        <v>15</v>
      </c>
      <c r="H47" s="4" t="s">
        <v>16</v>
      </c>
    </row>
    <row r="48" spans="1:8" x14ac:dyDescent="0.3">
      <c r="A48" s="4" t="s">
        <v>91</v>
      </c>
      <c r="B48" s="4" t="s">
        <v>9</v>
      </c>
      <c r="C48" s="5">
        <v>1440000</v>
      </c>
      <c r="D48" s="7" t="s">
        <v>92</v>
      </c>
      <c r="E48" s="6">
        <v>603653</v>
      </c>
      <c r="F48" s="3"/>
      <c r="G48" s="4" t="s">
        <v>11</v>
      </c>
    </row>
    <row r="49" spans="1:8" x14ac:dyDescent="0.3">
      <c r="A49" s="4" t="s">
        <v>93</v>
      </c>
      <c r="B49" s="4" t="s">
        <v>13</v>
      </c>
      <c r="C49" s="5">
        <v>1256500</v>
      </c>
      <c r="D49" s="3" t="s">
        <v>259</v>
      </c>
      <c r="E49" s="6">
        <v>126602</v>
      </c>
      <c r="F49" s="3"/>
      <c r="G49" s="4" t="s">
        <v>15</v>
      </c>
      <c r="H49" s="4" t="s">
        <v>16</v>
      </c>
    </row>
    <row r="50" spans="1:8" x14ac:dyDescent="0.3">
      <c r="A50" s="4" t="s">
        <v>95</v>
      </c>
      <c r="D50" s="7"/>
      <c r="E50" s="6"/>
      <c r="F50" s="3"/>
    </row>
    <row r="51" spans="1:8" x14ac:dyDescent="0.3">
      <c r="A51" s="4" t="s">
        <v>96</v>
      </c>
      <c r="D51" s="7"/>
      <c r="E51" s="6"/>
      <c r="F51" s="3"/>
    </row>
    <row r="52" spans="1:8" x14ac:dyDescent="0.3">
      <c r="A52" s="4" t="s">
        <v>98</v>
      </c>
      <c r="B52" s="4" t="s">
        <v>9</v>
      </c>
      <c r="C52" s="5">
        <v>1008100</v>
      </c>
      <c r="D52" s="3" t="s">
        <v>99</v>
      </c>
      <c r="E52" s="6">
        <v>2126489</v>
      </c>
      <c r="F52" s="3"/>
      <c r="G52" s="4" t="s">
        <v>11</v>
      </c>
    </row>
    <row r="53" spans="1:8" x14ac:dyDescent="0.3">
      <c r="A53" s="4" t="s">
        <v>100</v>
      </c>
      <c r="B53" s="4" t="s">
        <v>9</v>
      </c>
      <c r="C53" s="5">
        <v>1092300</v>
      </c>
      <c r="D53" s="8" t="s">
        <v>101</v>
      </c>
      <c r="E53" s="9">
        <v>7671009</v>
      </c>
      <c r="F53" s="7"/>
      <c r="G53" s="7" t="s">
        <v>11</v>
      </c>
    </row>
    <row r="54" spans="1:8" x14ac:dyDescent="0.3">
      <c r="A54" s="4" t="s">
        <v>102</v>
      </c>
      <c r="B54" s="4" t="s">
        <v>9</v>
      </c>
      <c r="C54" s="5">
        <v>1233300</v>
      </c>
      <c r="D54" s="3" t="s">
        <v>189</v>
      </c>
      <c r="E54" s="6">
        <v>20387916</v>
      </c>
      <c r="F54" s="3"/>
      <c r="G54" s="4" t="s">
        <v>11</v>
      </c>
    </row>
    <row r="55" spans="1:8" x14ac:dyDescent="0.3">
      <c r="A55" s="4" t="s">
        <v>104</v>
      </c>
      <c r="B55" s="4" t="s">
        <v>9</v>
      </c>
      <c r="C55" s="5">
        <v>1122500</v>
      </c>
      <c r="D55" s="3" t="s">
        <v>105</v>
      </c>
      <c r="E55" s="6">
        <v>97184</v>
      </c>
      <c r="F55" s="3"/>
      <c r="G55" s="4" t="s">
        <v>11</v>
      </c>
    </row>
    <row r="56" spans="1:8" x14ac:dyDescent="0.3">
      <c r="A56" s="4" t="s">
        <v>106</v>
      </c>
      <c r="B56" s="4" t="s">
        <v>13</v>
      </c>
      <c r="C56" s="5">
        <v>2663800</v>
      </c>
      <c r="D56" s="3" t="s">
        <v>107</v>
      </c>
      <c r="E56" s="6"/>
      <c r="F56" s="3"/>
      <c r="G56" s="4" t="s">
        <v>15</v>
      </c>
      <c r="H56" s="4" t="s">
        <v>16</v>
      </c>
    </row>
    <row r="57" spans="1:8" x14ac:dyDescent="0.3">
      <c r="A57" s="4" t="s">
        <v>108</v>
      </c>
      <c r="D57" s="7"/>
      <c r="E57" s="6"/>
      <c r="F57" s="3"/>
    </row>
    <row r="58" spans="1:8" x14ac:dyDescent="0.3">
      <c r="A58" s="4" t="s">
        <v>109</v>
      </c>
      <c r="B58" s="4" t="s">
        <v>13</v>
      </c>
      <c r="C58" s="5">
        <v>1869800</v>
      </c>
      <c r="D58" s="3" t="s">
        <v>213</v>
      </c>
      <c r="E58" s="6">
        <v>25718828</v>
      </c>
      <c r="F58" s="3"/>
      <c r="G58" s="4" t="s">
        <v>15</v>
      </c>
      <c r="H58" s="4" t="s">
        <v>16</v>
      </c>
    </row>
    <row r="59" spans="1:8" x14ac:dyDescent="0.3">
      <c r="A59" s="4" t="s">
        <v>111</v>
      </c>
      <c r="B59" s="4" t="s">
        <v>25</v>
      </c>
      <c r="C59" s="5">
        <v>399900</v>
      </c>
      <c r="D59" s="16" t="s">
        <v>158</v>
      </c>
      <c r="E59" s="15">
        <v>1355557</v>
      </c>
      <c r="F59" s="16"/>
      <c r="G59" s="4" t="s">
        <v>15</v>
      </c>
      <c r="H59" s="4" t="s">
        <v>27</v>
      </c>
    </row>
    <row r="60" spans="1:8" x14ac:dyDescent="0.3">
      <c r="A60" s="4" t="s">
        <v>111</v>
      </c>
      <c r="B60" s="4" t="s">
        <v>13</v>
      </c>
      <c r="C60" s="5">
        <v>1550000</v>
      </c>
      <c r="D60" s="16" t="s">
        <v>132</v>
      </c>
      <c r="E60" s="15"/>
      <c r="F60" s="16" t="s">
        <v>284</v>
      </c>
      <c r="G60" s="4" t="s">
        <v>15</v>
      </c>
      <c r="H60" s="4" t="s">
        <v>16</v>
      </c>
    </row>
    <row r="61" spans="1:8" x14ac:dyDescent="0.3">
      <c r="A61" s="4" t="s">
        <v>113</v>
      </c>
      <c r="B61" s="4" t="s">
        <v>25</v>
      </c>
      <c r="C61" s="5">
        <v>4926970</v>
      </c>
      <c r="D61" s="3" t="s">
        <v>92</v>
      </c>
      <c r="E61" s="15" t="s">
        <v>281</v>
      </c>
      <c r="F61" s="16" t="s">
        <v>219</v>
      </c>
      <c r="G61" s="4" t="s">
        <v>15</v>
      </c>
      <c r="H61" s="4" t="s">
        <v>27</v>
      </c>
    </row>
    <row r="62" spans="1:8" s="10" customFormat="1" ht="15" thickBot="1" x14ac:dyDescent="0.35">
      <c r="A62" s="10" t="s">
        <v>114</v>
      </c>
      <c r="B62" s="4"/>
      <c r="C62" s="11">
        <f>SUM(C2:C61)</f>
        <v>74839785</v>
      </c>
      <c r="D62" s="4"/>
    </row>
    <row r="63" spans="1:8" ht="15" thickTop="1" x14ac:dyDescent="0.3"/>
    <row r="68" spans="4:4" x14ac:dyDescent="0.3">
      <c r="D68" s="12"/>
    </row>
  </sheetData>
  <conditionalFormatting sqref="F14:F15 I20:I27">
    <cfRule type="containsText" dxfId="675" priority="117" operator="containsText" text="No">
      <formula>NOT(ISERROR(SEARCH("No",F14)))</formula>
    </cfRule>
    <cfRule type="containsText" dxfId="674" priority="118" operator="containsText" text="Yes">
      <formula>NOT(ISERROR(SEARCH("Yes",F14)))</formula>
    </cfRule>
  </conditionalFormatting>
  <conditionalFormatting sqref="G1">
    <cfRule type="containsText" dxfId="673" priority="133" operator="containsText" text="No">
      <formula>NOT(ISERROR(SEARCH("No",G1)))</formula>
    </cfRule>
    <cfRule type="containsText" dxfId="672" priority="134" operator="containsText" text="Yes">
      <formula>NOT(ISERROR(SEARCH("Yes",G1)))</formula>
    </cfRule>
  </conditionalFormatting>
  <conditionalFormatting sqref="G16 G19">
    <cfRule type="containsText" dxfId="671" priority="123" operator="containsText" text="No">
      <formula>NOT(ISERROR(SEARCH("No",G16)))</formula>
    </cfRule>
    <cfRule type="containsText" dxfId="670" priority="124" operator="containsText" text="Yes">
      <formula>NOT(ISERROR(SEARCH("Yes",G16)))</formula>
    </cfRule>
  </conditionalFormatting>
  <conditionalFormatting sqref="G29">
    <cfRule type="containsText" dxfId="669" priority="121" operator="containsText" text="No">
      <formula>NOT(ISERROR(SEARCH("No",G29)))</formula>
    </cfRule>
    <cfRule type="containsText" dxfId="668" priority="122" operator="containsText" text="Yes">
      <formula>NOT(ISERROR(SEARCH("Yes",G29)))</formula>
    </cfRule>
  </conditionalFormatting>
  <conditionalFormatting sqref="G40">
    <cfRule type="containsText" dxfId="667" priority="137" operator="containsText" text="No">
      <formula>NOT(ISERROR(SEARCH("No",G40)))</formula>
    </cfRule>
    <cfRule type="containsText" dxfId="666" priority="138" operator="containsText" text="Yes">
      <formula>NOT(ISERROR(SEARCH("Yes",G40)))</formula>
    </cfRule>
  </conditionalFormatting>
  <conditionalFormatting sqref="G43">
    <cfRule type="containsText" dxfId="665" priority="131" operator="containsText" text="No">
      <formula>NOT(ISERROR(SEARCH("No",G43)))</formula>
    </cfRule>
    <cfRule type="containsText" dxfId="664" priority="132" operator="containsText" text="Yes">
      <formula>NOT(ISERROR(SEARCH("Yes",G43)))</formula>
    </cfRule>
  </conditionalFormatting>
  <conditionalFormatting sqref="G52">
    <cfRule type="containsText" dxfId="663" priority="129" operator="containsText" text="No">
      <formula>NOT(ISERROR(SEARCH("No",G52)))</formula>
    </cfRule>
    <cfRule type="containsText" dxfId="662" priority="130" operator="containsText" text="Yes">
      <formula>NOT(ISERROR(SEARCH("Yes",G52)))</formula>
    </cfRule>
  </conditionalFormatting>
  <conditionalFormatting sqref="G62:G1048576">
    <cfRule type="containsText" dxfId="661" priority="135" operator="containsText" text="No">
      <formula>NOT(ISERROR(SEARCH("No",G62)))</formula>
    </cfRule>
    <cfRule type="containsText" dxfId="660" priority="136" operator="containsText" text="Yes">
      <formula>NOT(ISERROR(SEARCH("Yes",G62)))</formula>
    </cfRule>
  </conditionalFormatting>
  <conditionalFormatting sqref="G2:H7">
    <cfRule type="containsText" dxfId="659" priority="3" operator="containsText" text="No">
      <formula>NOT(ISERROR(SEARCH("No",G2)))</formula>
    </cfRule>
    <cfRule type="containsText" dxfId="658" priority="4" operator="containsText" text="Yes">
      <formula>NOT(ISERROR(SEARCH("Yes",G2)))</formula>
    </cfRule>
  </conditionalFormatting>
  <conditionalFormatting sqref="G20:H28">
    <cfRule type="containsText" dxfId="657" priority="17" operator="containsText" text="No">
      <formula>NOT(ISERROR(SEARCH("No",G20)))</formula>
    </cfRule>
    <cfRule type="containsText" dxfId="656" priority="18" operator="containsText" text="Yes">
      <formula>NOT(ISERROR(SEARCH("Yes",G20)))</formula>
    </cfRule>
  </conditionalFormatting>
  <conditionalFormatting sqref="G30:H39">
    <cfRule type="containsText" dxfId="655" priority="5" operator="containsText" text="No">
      <formula>NOT(ISERROR(SEARCH("No",G30)))</formula>
    </cfRule>
    <cfRule type="containsText" dxfId="654" priority="6" operator="containsText" text="Yes">
      <formula>NOT(ISERROR(SEARCH("Yes",G30)))</formula>
    </cfRule>
  </conditionalFormatting>
  <conditionalFormatting sqref="G41:H42">
    <cfRule type="containsText" dxfId="653" priority="115" operator="containsText" text="No">
      <formula>NOT(ISERROR(SEARCH("No",G41)))</formula>
    </cfRule>
    <cfRule type="containsText" dxfId="652" priority="116" operator="containsText" text="Yes">
      <formula>NOT(ISERROR(SEARCH("Yes",G41)))</formula>
    </cfRule>
  </conditionalFormatting>
  <conditionalFormatting sqref="G44:H51">
    <cfRule type="containsText" dxfId="651" priority="1" operator="containsText" text="No">
      <formula>NOT(ISERROR(SEARCH("No",G44)))</formula>
    </cfRule>
    <cfRule type="containsText" dxfId="650" priority="2" operator="containsText" text="Yes">
      <formula>NOT(ISERROR(SEARCH("Yes",G44)))</formula>
    </cfRule>
  </conditionalFormatting>
  <conditionalFormatting sqref="G53:H61">
    <cfRule type="containsText" dxfId="649" priority="15" operator="containsText" text="No">
      <formula>NOT(ISERROR(SEARCH("No",G53)))</formula>
    </cfRule>
    <cfRule type="containsText" dxfId="648" priority="16" operator="containsText" text="Yes">
      <formula>NOT(ISERROR(SEARCH("Yes",G53)))</formula>
    </cfRule>
  </conditionalFormatting>
  <conditionalFormatting sqref="G8:I15">
    <cfRule type="containsText" dxfId="647" priority="7" operator="containsText" text="No">
      <formula>NOT(ISERROR(SEARCH("No",G8)))</formula>
    </cfRule>
    <cfRule type="containsText" dxfId="646" priority="8" operator="containsText" text="Yes">
      <formula>NOT(ISERROR(SEARCH("Yes",G8)))</formula>
    </cfRule>
  </conditionalFormatting>
  <conditionalFormatting sqref="G17:I18">
    <cfRule type="containsText" dxfId="645" priority="13" operator="containsText" text="No">
      <formula>NOT(ISERROR(SEARCH("No",G17)))</formula>
    </cfRule>
    <cfRule type="containsText" dxfId="644" priority="14" operator="containsText" text="Yes">
      <formula>NOT(ISERROR(SEARCH("Yes",G17)))</formula>
    </cfRule>
  </conditionalFormatting>
  <conditionalFormatting sqref="H28">
    <cfRule type="containsText" dxfId="643" priority="125" operator="containsText" text="No">
      <formula>NOT(ISERROR(SEARCH("No",H28)))</formula>
    </cfRule>
    <cfRule type="containsText" dxfId="642" priority="126" operator="containsText" text="Yes">
      <formula>NOT(ISERROR(SEARCH("Yes",H28)))</formula>
    </cfRule>
  </conditionalFormatting>
  <conditionalFormatting sqref="I20">
    <cfRule type="containsText" dxfId="641" priority="127" operator="containsText" text="No">
      <formula>NOT(ISERROR(SEARCH("No",I20)))</formula>
    </cfRule>
    <cfRule type="containsText" dxfId="640" priority="128" operator="containsText" text="Yes">
      <formula>NOT(ISERROR(SEARCH("Yes",I20)))</formula>
    </cfRule>
  </conditionalFormatting>
  <conditionalFormatting sqref="I30">
    <cfRule type="containsText" dxfId="639" priority="119" operator="containsText" text="No">
      <formula>NOT(ISERROR(SEARCH("No",I30)))</formula>
    </cfRule>
    <cfRule type="containsText" dxfId="638" priority="120" operator="containsText" text="Yes">
      <formula>NOT(ISERROR(SEARCH("Yes",I30)))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68"/>
  <sheetViews>
    <sheetView zoomScale="81" zoomScaleNormal="81" workbookViewId="0">
      <pane ySplit="1" topLeftCell="A38" activePane="bottomLeft" state="frozen"/>
      <selection pane="bottomLeft" sqref="A1:XFD1048576"/>
    </sheetView>
  </sheetViews>
  <sheetFormatPr defaultColWidth="10" defaultRowHeight="14.4" x14ac:dyDescent="0.3"/>
  <cols>
    <col min="1" max="1" width="17.5546875" style="4" bestFit="1" customWidth="1"/>
    <col min="2" max="2" width="12.33203125" style="4" bestFit="1" customWidth="1"/>
    <col min="3" max="3" width="18.5546875" style="5" bestFit="1" customWidth="1"/>
    <col min="4" max="4" width="23.88671875" style="4" bestFit="1" customWidth="1"/>
    <col min="5" max="5" width="16.6640625" style="4" bestFit="1" customWidth="1"/>
    <col min="6" max="6" width="14.6640625" style="4" bestFit="1" customWidth="1"/>
    <col min="7" max="7" width="14.6640625" style="4" customWidth="1"/>
    <col min="8" max="8" width="12.109375" style="4" bestFit="1" customWidth="1"/>
    <col min="9" max="9" width="4.33203125" style="4" customWidth="1"/>
    <col min="10" max="16384" width="10" style="4"/>
  </cols>
  <sheetData>
    <row r="1" spans="1:9" s="1" customForma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s="1" customFormat="1" x14ac:dyDescent="0.3">
      <c r="A2" s="3" t="s">
        <v>8</v>
      </c>
      <c r="B2" s="4" t="s">
        <v>9</v>
      </c>
      <c r="C2" s="5">
        <v>2293800</v>
      </c>
      <c r="D2" s="3" t="s">
        <v>10</v>
      </c>
      <c r="E2" s="6">
        <v>21286301</v>
      </c>
      <c r="F2" s="3"/>
      <c r="G2" s="4" t="s">
        <v>11</v>
      </c>
      <c r="H2" s="4"/>
      <c r="I2" s="16"/>
    </row>
    <row r="3" spans="1:9" x14ac:dyDescent="0.3">
      <c r="A3" s="4" t="s">
        <v>12</v>
      </c>
      <c r="B3" s="4" t="s">
        <v>13</v>
      </c>
      <c r="C3" s="5">
        <v>404850</v>
      </c>
      <c r="D3" s="3" t="s">
        <v>14</v>
      </c>
      <c r="E3" s="6">
        <v>149236</v>
      </c>
      <c r="F3" s="16" t="s">
        <v>310</v>
      </c>
      <c r="G3" s="4" t="s">
        <v>15</v>
      </c>
      <c r="H3" s="4" t="s">
        <v>16</v>
      </c>
    </row>
    <row r="4" spans="1:9" x14ac:dyDescent="0.3">
      <c r="A4" s="4" t="s">
        <v>17</v>
      </c>
      <c r="D4" s="16"/>
      <c r="E4" s="6"/>
      <c r="F4" s="3"/>
    </row>
    <row r="5" spans="1:9" x14ac:dyDescent="0.3">
      <c r="A5" s="4" t="s">
        <v>18</v>
      </c>
      <c r="B5" s="4" t="s">
        <v>13</v>
      </c>
      <c r="C5" s="5">
        <v>974550</v>
      </c>
      <c r="D5" s="3" t="s">
        <v>19</v>
      </c>
      <c r="E5" s="6">
        <v>23480363</v>
      </c>
      <c r="F5" s="3"/>
      <c r="G5" s="4" t="s">
        <v>15</v>
      </c>
      <c r="H5" s="4" t="s">
        <v>16</v>
      </c>
    </row>
    <row r="6" spans="1:9" x14ac:dyDescent="0.3">
      <c r="A6" s="4" t="s">
        <v>20</v>
      </c>
      <c r="B6" s="4" t="s">
        <v>13</v>
      </c>
      <c r="C6" s="5">
        <v>491000</v>
      </c>
      <c r="D6" s="3" t="s">
        <v>21</v>
      </c>
      <c r="E6" s="6">
        <v>25461716</v>
      </c>
      <c r="F6" s="3"/>
      <c r="G6" s="4" t="s">
        <v>15</v>
      </c>
      <c r="H6" s="4" t="s">
        <v>16</v>
      </c>
    </row>
    <row r="7" spans="1:9" x14ac:dyDescent="0.3">
      <c r="A7" s="4" t="s">
        <v>22</v>
      </c>
      <c r="B7" s="4" t="s">
        <v>13</v>
      </c>
      <c r="C7" s="5">
        <v>880500</v>
      </c>
      <c r="D7" s="3" t="s">
        <v>23</v>
      </c>
      <c r="E7" s="6">
        <v>14081655</v>
      </c>
      <c r="F7" s="3"/>
      <c r="G7" s="4" t="s">
        <v>15</v>
      </c>
      <c r="H7" s="4" t="s">
        <v>16</v>
      </c>
    </row>
    <row r="8" spans="1:9" x14ac:dyDescent="0.3">
      <c r="A8" s="4" t="s">
        <v>24</v>
      </c>
      <c r="B8" s="4" t="s">
        <v>25</v>
      </c>
      <c r="C8" s="5">
        <v>1298800</v>
      </c>
      <c r="D8" s="16" t="s">
        <v>26</v>
      </c>
      <c r="E8" s="6" t="s">
        <v>167</v>
      </c>
      <c r="F8" s="3"/>
      <c r="G8" s="4" t="s">
        <v>15</v>
      </c>
      <c r="H8" s="4" t="s">
        <v>27</v>
      </c>
    </row>
    <row r="9" spans="1:9" x14ac:dyDescent="0.3">
      <c r="A9" s="4" t="s">
        <v>28</v>
      </c>
      <c r="D9" s="3"/>
      <c r="E9" s="6"/>
      <c r="F9" s="3"/>
    </row>
    <row r="10" spans="1:9" x14ac:dyDescent="0.3">
      <c r="A10" s="4" t="s">
        <v>30</v>
      </c>
      <c r="B10" s="4" t="s">
        <v>25</v>
      </c>
      <c r="C10" s="5">
        <v>4091600</v>
      </c>
      <c r="D10" s="3" t="s">
        <v>136</v>
      </c>
      <c r="E10" s="6" t="s">
        <v>315</v>
      </c>
      <c r="F10" s="16"/>
      <c r="G10" s="4" t="s">
        <v>15</v>
      </c>
      <c r="H10" s="4" t="s">
        <v>27</v>
      </c>
    </row>
    <row r="11" spans="1:9" x14ac:dyDescent="0.3">
      <c r="A11" s="4" t="s">
        <v>31</v>
      </c>
      <c r="B11" s="4" t="s">
        <v>13</v>
      </c>
      <c r="C11" s="5">
        <v>4427520</v>
      </c>
      <c r="D11" s="3" t="s">
        <v>152</v>
      </c>
      <c r="E11" s="6"/>
      <c r="F11" s="3"/>
      <c r="G11" s="4" t="s">
        <v>15</v>
      </c>
      <c r="H11" s="4" t="s">
        <v>16</v>
      </c>
    </row>
    <row r="12" spans="1:9" x14ac:dyDescent="0.3">
      <c r="A12" s="4" t="s">
        <v>32</v>
      </c>
      <c r="B12" s="4" t="s">
        <v>9</v>
      </c>
      <c r="C12" s="5">
        <v>3164300</v>
      </c>
      <c r="D12" s="16" t="s">
        <v>137</v>
      </c>
      <c r="E12" s="6">
        <v>42632</v>
      </c>
      <c r="F12" s="3"/>
      <c r="G12" s="4" t="s">
        <v>11</v>
      </c>
    </row>
    <row r="13" spans="1:9" x14ac:dyDescent="0.3">
      <c r="A13" s="4" t="s">
        <v>33</v>
      </c>
      <c r="B13" s="4" t="s">
        <v>13</v>
      </c>
      <c r="C13" s="5">
        <v>1467450</v>
      </c>
      <c r="D13" s="3" t="s">
        <v>34</v>
      </c>
      <c r="E13" s="6"/>
      <c r="F13" s="3"/>
      <c r="G13" s="4" t="s">
        <v>15</v>
      </c>
      <c r="H13" s="4" t="s">
        <v>16</v>
      </c>
    </row>
    <row r="14" spans="1:9" x14ac:dyDescent="0.3">
      <c r="A14" s="4" t="s">
        <v>35</v>
      </c>
      <c r="B14" s="4" t="s">
        <v>13</v>
      </c>
      <c r="C14" s="5">
        <v>202600</v>
      </c>
      <c r="D14" s="3" t="s">
        <v>36</v>
      </c>
      <c r="E14" s="6">
        <v>139566</v>
      </c>
      <c r="F14" s="4" t="s">
        <v>316</v>
      </c>
      <c r="G14" s="4" t="s">
        <v>15</v>
      </c>
      <c r="H14" s="4" t="s">
        <v>16</v>
      </c>
    </row>
    <row r="15" spans="1:9" x14ac:dyDescent="0.3">
      <c r="A15" s="4" t="s">
        <v>37</v>
      </c>
      <c r="B15" s="4" t="s">
        <v>13</v>
      </c>
      <c r="C15" s="5">
        <v>914260</v>
      </c>
      <c r="D15" s="3" t="s">
        <v>38</v>
      </c>
      <c r="E15" s="6"/>
      <c r="G15" s="4" t="s">
        <v>15</v>
      </c>
      <c r="H15" s="4" t="s">
        <v>16</v>
      </c>
    </row>
    <row r="16" spans="1:9" x14ac:dyDescent="0.3">
      <c r="A16" s="4" t="s">
        <v>39</v>
      </c>
      <c r="D16" s="3"/>
      <c r="E16" s="6"/>
      <c r="F16" s="3"/>
    </row>
    <row r="17" spans="1:8" x14ac:dyDescent="0.3">
      <c r="A17" s="4" t="s">
        <v>40</v>
      </c>
      <c r="B17" s="4" t="s">
        <v>13</v>
      </c>
      <c r="C17" s="5">
        <v>1329100</v>
      </c>
      <c r="D17" s="3" t="s">
        <v>41</v>
      </c>
      <c r="E17" s="6">
        <v>24596129</v>
      </c>
      <c r="F17" s="3"/>
      <c r="G17" s="4" t="s">
        <v>15</v>
      </c>
      <c r="H17" s="4" t="s">
        <v>16</v>
      </c>
    </row>
    <row r="18" spans="1:8" x14ac:dyDescent="0.3">
      <c r="A18" s="4" t="s">
        <v>42</v>
      </c>
      <c r="B18" s="4" t="s">
        <v>13</v>
      </c>
      <c r="C18" s="5">
        <v>1120200</v>
      </c>
      <c r="D18" s="3" t="s">
        <v>128</v>
      </c>
      <c r="E18" s="6"/>
      <c r="F18" s="3"/>
      <c r="G18" s="4" t="s">
        <v>15</v>
      </c>
      <c r="H18" s="4" t="s">
        <v>16</v>
      </c>
    </row>
    <row r="19" spans="1:8" x14ac:dyDescent="0.3">
      <c r="A19" s="4" t="s">
        <v>43</v>
      </c>
      <c r="D19" s="3"/>
      <c r="E19" s="6"/>
      <c r="F19" s="3"/>
    </row>
    <row r="20" spans="1:8" x14ac:dyDescent="0.3">
      <c r="A20" s="4" t="s">
        <v>44</v>
      </c>
      <c r="B20" s="4" t="s">
        <v>25</v>
      </c>
      <c r="C20" s="5">
        <v>2563000</v>
      </c>
      <c r="D20" s="3" t="s">
        <v>45</v>
      </c>
      <c r="E20" s="15" t="s">
        <v>314</v>
      </c>
      <c r="F20" s="16"/>
      <c r="G20" s="4" t="s">
        <v>15</v>
      </c>
      <c r="H20" s="4" t="s">
        <v>27</v>
      </c>
    </row>
    <row r="21" spans="1:8" x14ac:dyDescent="0.3">
      <c r="A21" s="4" t="s">
        <v>46</v>
      </c>
      <c r="B21" s="4" t="s">
        <v>25</v>
      </c>
      <c r="C21" s="5">
        <v>1010850</v>
      </c>
      <c r="D21" s="3" t="s">
        <v>47</v>
      </c>
      <c r="E21" s="6" t="s">
        <v>297</v>
      </c>
      <c r="F21" s="3" t="s">
        <v>298</v>
      </c>
      <c r="G21" s="4" t="s">
        <v>15</v>
      </c>
      <c r="H21" s="4" t="s">
        <v>27</v>
      </c>
    </row>
    <row r="22" spans="1:8" x14ac:dyDescent="0.3">
      <c r="A22" s="4" t="s">
        <v>49</v>
      </c>
      <c r="B22" s="4" t="s">
        <v>13</v>
      </c>
      <c r="C22" s="5">
        <v>1678720</v>
      </c>
      <c r="D22" s="3" t="s">
        <v>50</v>
      </c>
      <c r="E22" s="6"/>
      <c r="F22" s="3"/>
      <c r="G22" s="4" t="s">
        <v>15</v>
      </c>
      <c r="H22" s="4" t="s">
        <v>16</v>
      </c>
    </row>
    <row r="23" spans="1:8" x14ac:dyDescent="0.3">
      <c r="A23" s="4" t="s">
        <v>51</v>
      </c>
      <c r="B23" s="4" t="s">
        <v>13</v>
      </c>
      <c r="C23" s="5">
        <v>2000000</v>
      </c>
      <c r="D23" s="5" t="s">
        <v>207</v>
      </c>
      <c r="E23" s="6"/>
      <c r="F23" s="3" t="s">
        <v>296</v>
      </c>
      <c r="G23" s="4" t="s">
        <v>15</v>
      </c>
      <c r="H23" s="4" t="s">
        <v>16</v>
      </c>
    </row>
    <row r="24" spans="1:8" x14ac:dyDescent="0.3">
      <c r="A24" s="4" t="s">
        <v>51</v>
      </c>
      <c r="B24" s="4" t="s">
        <v>13</v>
      </c>
      <c r="C24" s="5">
        <v>450000</v>
      </c>
      <c r="D24" s="5" t="s">
        <v>207</v>
      </c>
      <c r="E24" s="6"/>
      <c r="F24" s="3" t="s">
        <v>302</v>
      </c>
      <c r="G24" s="4" t="s">
        <v>15</v>
      </c>
      <c r="H24" s="4" t="s">
        <v>16</v>
      </c>
    </row>
    <row r="25" spans="1:8" x14ac:dyDescent="0.3">
      <c r="A25" s="4" t="s">
        <v>52</v>
      </c>
      <c r="B25" s="4" t="s">
        <v>13</v>
      </c>
      <c r="C25" s="5">
        <v>965450</v>
      </c>
      <c r="D25" s="3" t="s">
        <v>294</v>
      </c>
      <c r="E25" s="6"/>
      <c r="F25" s="3" t="s">
        <v>295</v>
      </c>
      <c r="G25" s="4" t="s">
        <v>15</v>
      </c>
      <c r="H25" s="4" t="s">
        <v>16</v>
      </c>
    </row>
    <row r="26" spans="1:8" x14ac:dyDescent="0.3">
      <c r="A26" s="4" t="s">
        <v>53</v>
      </c>
      <c r="B26" s="4" t="s">
        <v>9</v>
      </c>
      <c r="C26" s="5">
        <v>9342000</v>
      </c>
      <c r="D26" s="3" t="s">
        <v>54</v>
      </c>
      <c r="E26" s="6">
        <v>728299</v>
      </c>
      <c r="F26" s="3"/>
      <c r="G26" s="4" t="s">
        <v>11</v>
      </c>
    </row>
    <row r="27" spans="1:8" x14ac:dyDescent="0.3">
      <c r="A27" s="4" t="s">
        <v>55</v>
      </c>
      <c r="B27" s="4" t="s">
        <v>13</v>
      </c>
      <c r="C27" s="5">
        <v>908050</v>
      </c>
      <c r="D27" s="3" t="s">
        <v>56</v>
      </c>
      <c r="E27" s="6">
        <v>129557</v>
      </c>
      <c r="F27" s="3" t="s">
        <v>301</v>
      </c>
      <c r="G27" s="4" t="s">
        <v>15</v>
      </c>
      <c r="H27" s="4" t="s">
        <v>16</v>
      </c>
    </row>
    <row r="28" spans="1:8" x14ac:dyDescent="0.3">
      <c r="A28" s="4" t="s">
        <v>57</v>
      </c>
      <c r="B28" s="4" t="s">
        <v>13</v>
      </c>
      <c r="C28" s="5">
        <v>372805</v>
      </c>
      <c r="D28" s="3" t="s">
        <v>58</v>
      </c>
      <c r="E28" s="6"/>
      <c r="F28" s="3"/>
      <c r="G28" s="4" t="s">
        <v>15</v>
      </c>
      <c r="H28" s="4" t="s">
        <v>16</v>
      </c>
    </row>
    <row r="29" spans="1:8" x14ac:dyDescent="0.3">
      <c r="A29" s="4" t="s">
        <v>59</v>
      </c>
      <c r="B29" s="4" t="s">
        <v>25</v>
      </c>
      <c r="C29" s="5">
        <v>1500000</v>
      </c>
      <c r="D29" s="3" t="s">
        <v>299</v>
      </c>
      <c r="E29" s="6" t="s">
        <v>299</v>
      </c>
      <c r="F29" s="3" t="s">
        <v>300</v>
      </c>
      <c r="G29" s="7" t="s">
        <v>15</v>
      </c>
      <c r="H29" s="5" t="s">
        <v>27</v>
      </c>
    </row>
    <row r="30" spans="1:8" x14ac:dyDescent="0.3">
      <c r="A30" s="4" t="s">
        <v>60</v>
      </c>
      <c r="D30" s="3"/>
      <c r="E30" s="6"/>
      <c r="F30" s="3"/>
    </row>
    <row r="31" spans="1:8" x14ac:dyDescent="0.3">
      <c r="A31" s="4" t="s">
        <v>61</v>
      </c>
      <c r="B31" s="4" t="s">
        <v>13</v>
      </c>
      <c r="C31" s="5">
        <v>1345850</v>
      </c>
      <c r="D31" s="3" t="s">
        <v>243</v>
      </c>
      <c r="E31" s="6">
        <v>23131334</v>
      </c>
      <c r="F31" s="3"/>
      <c r="G31" s="4" t="s">
        <v>15</v>
      </c>
      <c r="H31" s="4" t="s">
        <v>16</v>
      </c>
    </row>
    <row r="32" spans="1:8" x14ac:dyDescent="0.3">
      <c r="A32" s="4" t="s">
        <v>63</v>
      </c>
      <c r="D32" s="3"/>
      <c r="E32" s="6"/>
      <c r="F32" s="3"/>
    </row>
    <row r="33" spans="1:8" x14ac:dyDescent="0.3">
      <c r="A33" s="4" t="s">
        <v>64</v>
      </c>
      <c r="D33" s="3"/>
      <c r="E33" s="6"/>
      <c r="F33" s="3"/>
    </row>
    <row r="34" spans="1:8" x14ac:dyDescent="0.3">
      <c r="A34" s="4" t="s">
        <v>65</v>
      </c>
      <c r="B34" s="4" t="s">
        <v>13</v>
      </c>
      <c r="C34" s="5">
        <v>1789770</v>
      </c>
      <c r="D34" s="7" t="s">
        <v>66</v>
      </c>
      <c r="E34" s="6">
        <v>23480360</v>
      </c>
      <c r="F34" s="3"/>
      <c r="G34" s="4" t="s">
        <v>15</v>
      </c>
      <c r="H34" s="4" t="s">
        <v>16</v>
      </c>
    </row>
    <row r="35" spans="1:8" x14ac:dyDescent="0.3">
      <c r="A35" s="4" t="s">
        <v>67</v>
      </c>
      <c r="B35" s="4" t="s">
        <v>13</v>
      </c>
      <c r="C35" s="5">
        <v>1027200</v>
      </c>
      <c r="D35" s="3" t="s">
        <v>68</v>
      </c>
      <c r="E35" s="6">
        <v>23480353</v>
      </c>
      <c r="F35" s="3"/>
      <c r="G35" s="4" t="s">
        <v>15</v>
      </c>
      <c r="H35" s="4" t="s">
        <v>16</v>
      </c>
    </row>
    <row r="36" spans="1:8" x14ac:dyDescent="0.3">
      <c r="A36" s="4" t="s">
        <v>69</v>
      </c>
      <c r="B36" s="4" t="s">
        <v>25</v>
      </c>
      <c r="C36" s="5">
        <v>1256320</v>
      </c>
      <c r="D36" s="3" t="s">
        <v>70</v>
      </c>
      <c r="E36" s="6"/>
      <c r="F36" s="3" t="s">
        <v>303</v>
      </c>
      <c r="G36" s="4" t="s">
        <v>15</v>
      </c>
      <c r="H36" s="4" t="s">
        <v>27</v>
      </c>
    </row>
    <row r="37" spans="1:8" x14ac:dyDescent="0.3">
      <c r="A37" s="4" t="s">
        <v>71</v>
      </c>
      <c r="B37" s="4" t="s">
        <v>25</v>
      </c>
      <c r="C37" s="5">
        <v>4451300</v>
      </c>
      <c r="D37" s="7" t="s">
        <v>72</v>
      </c>
      <c r="E37" s="6">
        <v>962032</v>
      </c>
      <c r="F37" s="3"/>
      <c r="G37" s="4" t="s">
        <v>15</v>
      </c>
      <c r="H37" s="4" t="s">
        <v>27</v>
      </c>
    </row>
    <row r="38" spans="1:8" x14ac:dyDescent="0.3">
      <c r="A38" s="4" t="s">
        <v>73</v>
      </c>
      <c r="B38" s="4" t="s">
        <v>13</v>
      </c>
      <c r="C38" s="5">
        <v>1817400</v>
      </c>
      <c r="D38" s="3" t="s">
        <v>74</v>
      </c>
      <c r="E38" s="6">
        <v>154664</v>
      </c>
      <c r="F38" s="3" t="s">
        <v>251</v>
      </c>
      <c r="G38" s="4" t="s">
        <v>15</v>
      </c>
      <c r="H38" s="4" t="s">
        <v>16</v>
      </c>
    </row>
    <row r="39" spans="1:8" x14ac:dyDescent="0.3">
      <c r="A39" s="4" t="s">
        <v>75</v>
      </c>
      <c r="D39" s="3"/>
      <c r="E39" s="6"/>
      <c r="F39" s="3"/>
    </row>
    <row r="40" spans="1:8" x14ac:dyDescent="0.3">
      <c r="A40" s="4" t="s">
        <v>76</v>
      </c>
      <c r="B40" s="4" t="s">
        <v>25</v>
      </c>
      <c r="C40" s="5">
        <v>1172500</v>
      </c>
      <c r="D40" s="3" t="s">
        <v>77</v>
      </c>
      <c r="E40" s="6">
        <v>9417</v>
      </c>
      <c r="F40" s="3"/>
      <c r="G40" s="4" t="s">
        <v>15</v>
      </c>
      <c r="H40" s="4" t="s">
        <v>309</v>
      </c>
    </row>
    <row r="41" spans="1:8" x14ac:dyDescent="0.3">
      <c r="A41" s="4" t="s">
        <v>78</v>
      </c>
      <c r="D41" s="3"/>
      <c r="E41" s="6"/>
      <c r="F41" s="3"/>
    </row>
    <row r="42" spans="1:8" x14ac:dyDescent="0.3">
      <c r="A42" s="4" t="s">
        <v>79</v>
      </c>
      <c r="B42" s="4" t="s">
        <v>9</v>
      </c>
      <c r="C42" s="5">
        <v>8800000</v>
      </c>
      <c r="D42" s="16" t="s">
        <v>201</v>
      </c>
      <c r="E42" s="6">
        <v>4740972</v>
      </c>
      <c r="F42" s="3"/>
      <c r="G42" s="4" t="s">
        <v>11</v>
      </c>
    </row>
    <row r="43" spans="1:8" x14ac:dyDescent="0.3">
      <c r="A43" s="4" t="s">
        <v>80</v>
      </c>
      <c r="D43" s="7"/>
      <c r="E43" s="6"/>
      <c r="F43" s="3"/>
    </row>
    <row r="44" spans="1:8" x14ac:dyDescent="0.3">
      <c r="A44" s="4" t="s">
        <v>81</v>
      </c>
      <c r="B44" s="4" t="s">
        <v>9</v>
      </c>
      <c r="C44" s="5">
        <v>698200</v>
      </c>
      <c r="D44" s="3" t="s">
        <v>82</v>
      </c>
      <c r="E44" s="6">
        <v>2126217</v>
      </c>
      <c r="F44" s="3"/>
      <c r="G44" s="4" t="s">
        <v>11</v>
      </c>
    </row>
    <row r="45" spans="1:8" x14ac:dyDescent="0.3">
      <c r="A45" s="4" t="s">
        <v>83</v>
      </c>
      <c r="B45" s="4" t="s">
        <v>13</v>
      </c>
      <c r="C45" s="5">
        <v>3987800</v>
      </c>
      <c r="D45" s="16" t="s">
        <v>313</v>
      </c>
      <c r="E45" s="6">
        <v>161009</v>
      </c>
      <c r="F45" s="16"/>
      <c r="G45" s="4" t="s">
        <v>15</v>
      </c>
      <c r="H45" s="4" t="s">
        <v>16</v>
      </c>
    </row>
    <row r="46" spans="1:8" x14ac:dyDescent="0.3">
      <c r="A46" s="4" t="s">
        <v>85</v>
      </c>
      <c r="B46" s="4" t="s">
        <v>13</v>
      </c>
      <c r="C46" s="5">
        <v>3097900</v>
      </c>
      <c r="D46" s="3" t="s">
        <v>86</v>
      </c>
      <c r="E46" s="6">
        <v>168957</v>
      </c>
      <c r="F46" s="3"/>
      <c r="G46" s="4" t="s">
        <v>15</v>
      </c>
      <c r="H46" s="4" t="s">
        <v>16</v>
      </c>
    </row>
    <row r="47" spans="1:8" x14ac:dyDescent="0.3">
      <c r="A47" s="4" t="s">
        <v>87</v>
      </c>
      <c r="B47" s="4" t="s">
        <v>25</v>
      </c>
      <c r="C47" s="5">
        <v>1785300</v>
      </c>
      <c r="D47" s="3" t="s">
        <v>88</v>
      </c>
      <c r="E47" s="6"/>
      <c r="F47" s="3"/>
      <c r="G47" s="4" t="s">
        <v>15</v>
      </c>
      <c r="H47" s="4" t="s">
        <v>27</v>
      </c>
    </row>
    <row r="48" spans="1:8" x14ac:dyDescent="0.3">
      <c r="A48" s="4" t="s">
        <v>89</v>
      </c>
      <c r="B48" s="4" t="s">
        <v>13</v>
      </c>
      <c r="C48" s="5">
        <v>2697450</v>
      </c>
      <c r="D48" s="3" t="s">
        <v>90</v>
      </c>
      <c r="E48" s="6">
        <v>138184</v>
      </c>
      <c r="F48" s="3" t="s">
        <v>304</v>
      </c>
      <c r="G48" s="4" t="s">
        <v>15</v>
      </c>
      <c r="H48" s="4" t="s">
        <v>16</v>
      </c>
    </row>
    <row r="49" spans="1:8" x14ac:dyDescent="0.3">
      <c r="A49" s="4" t="s">
        <v>91</v>
      </c>
      <c r="B49" s="4" t="s">
        <v>9</v>
      </c>
      <c r="C49" s="5">
        <v>1480000</v>
      </c>
      <c r="D49" s="7" t="s">
        <v>92</v>
      </c>
      <c r="E49" s="6">
        <v>676794</v>
      </c>
      <c r="F49" s="3"/>
      <c r="G49" s="4" t="s">
        <v>11</v>
      </c>
    </row>
    <row r="50" spans="1:8" x14ac:dyDescent="0.3">
      <c r="A50" s="4" t="s">
        <v>93</v>
      </c>
      <c r="B50" s="4" t="s">
        <v>13</v>
      </c>
      <c r="C50" s="5">
        <v>2004050</v>
      </c>
      <c r="D50" s="3" t="s">
        <v>259</v>
      </c>
      <c r="E50" s="6">
        <v>137255</v>
      </c>
      <c r="F50" s="3"/>
      <c r="G50" s="4" t="s">
        <v>15</v>
      </c>
      <c r="H50" s="4" t="s">
        <v>16</v>
      </c>
    </row>
    <row r="51" spans="1:8" x14ac:dyDescent="0.3">
      <c r="A51" s="4" t="s">
        <v>95</v>
      </c>
      <c r="D51" s="7"/>
      <c r="E51" s="6"/>
      <c r="F51" s="3"/>
    </row>
    <row r="52" spans="1:8" x14ac:dyDescent="0.3">
      <c r="A52" s="4" t="s">
        <v>96</v>
      </c>
      <c r="B52" s="4" t="s">
        <v>13</v>
      </c>
      <c r="C52" s="5">
        <v>979500</v>
      </c>
      <c r="D52" s="7" t="s">
        <v>307</v>
      </c>
      <c r="E52" s="6">
        <v>143138</v>
      </c>
      <c r="F52" s="3" t="s">
        <v>308</v>
      </c>
      <c r="G52" s="4" t="s">
        <v>15</v>
      </c>
      <c r="H52" s="4" t="s">
        <v>16</v>
      </c>
    </row>
    <row r="53" spans="1:8" x14ac:dyDescent="0.3">
      <c r="A53" s="4" t="s">
        <v>98</v>
      </c>
      <c r="B53" s="4" t="s">
        <v>9</v>
      </c>
      <c r="C53" s="5">
        <v>1082950</v>
      </c>
      <c r="D53" s="3" t="s">
        <v>99</v>
      </c>
      <c r="E53" s="6">
        <v>2126302</v>
      </c>
      <c r="F53" s="3"/>
      <c r="G53" s="4" t="s">
        <v>11</v>
      </c>
    </row>
    <row r="54" spans="1:8" x14ac:dyDescent="0.3">
      <c r="A54" s="4" t="s">
        <v>100</v>
      </c>
      <c r="B54" s="4" t="s">
        <v>9</v>
      </c>
      <c r="C54" s="5">
        <v>1185800</v>
      </c>
      <c r="D54" s="8" t="s">
        <v>101</v>
      </c>
      <c r="E54" s="9">
        <v>7671066</v>
      </c>
      <c r="F54" s="7"/>
      <c r="G54" s="7" t="s">
        <v>11</v>
      </c>
    </row>
    <row r="55" spans="1:8" x14ac:dyDescent="0.3">
      <c r="A55" s="4" t="s">
        <v>102</v>
      </c>
      <c r="B55" s="4" t="s">
        <v>9</v>
      </c>
      <c r="C55" s="5">
        <v>2095850</v>
      </c>
      <c r="D55" s="3" t="s">
        <v>103</v>
      </c>
      <c r="E55" s="6">
        <v>21011261</v>
      </c>
      <c r="F55" s="3"/>
      <c r="G55" s="4" t="s">
        <v>11</v>
      </c>
    </row>
    <row r="56" spans="1:8" x14ac:dyDescent="0.3">
      <c r="A56" s="4" t="s">
        <v>104</v>
      </c>
      <c r="B56" s="4" t="s">
        <v>9</v>
      </c>
      <c r="C56" s="5">
        <v>989300</v>
      </c>
      <c r="D56" s="3" t="s">
        <v>105</v>
      </c>
      <c r="E56" s="6">
        <v>97180</v>
      </c>
      <c r="F56" s="3"/>
      <c r="G56" s="4" t="s">
        <v>11</v>
      </c>
    </row>
    <row r="57" spans="1:8" x14ac:dyDescent="0.3">
      <c r="A57" s="4" t="s">
        <v>106</v>
      </c>
      <c r="B57" s="4" t="s">
        <v>13</v>
      </c>
      <c r="C57" s="5">
        <v>2688300</v>
      </c>
      <c r="D57" s="3" t="s">
        <v>107</v>
      </c>
      <c r="E57" s="6">
        <v>132829</v>
      </c>
      <c r="F57" s="3" t="s">
        <v>119</v>
      </c>
      <c r="G57" s="4" t="s">
        <v>15</v>
      </c>
      <c r="H57" s="4" t="s">
        <v>16</v>
      </c>
    </row>
    <row r="58" spans="1:8" x14ac:dyDescent="0.3">
      <c r="A58" s="4" t="s">
        <v>108</v>
      </c>
      <c r="B58" s="4" t="s">
        <v>13</v>
      </c>
      <c r="C58" s="5">
        <v>5783500</v>
      </c>
      <c r="D58" s="7" t="s">
        <v>135</v>
      </c>
      <c r="E58" s="6">
        <v>22889983</v>
      </c>
      <c r="F58" s="3"/>
      <c r="G58" s="4" t="s">
        <v>15</v>
      </c>
      <c r="H58" s="4" t="s">
        <v>16</v>
      </c>
    </row>
    <row r="59" spans="1:8" x14ac:dyDescent="0.3">
      <c r="A59" s="4" t="s">
        <v>109</v>
      </c>
      <c r="B59" s="4" t="s">
        <v>13</v>
      </c>
      <c r="C59" s="5">
        <v>2061350</v>
      </c>
      <c r="D59" s="3" t="s">
        <v>213</v>
      </c>
      <c r="E59" s="6"/>
      <c r="F59" s="3"/>
      <c r="G59" s="4" t="s">
        <v>15</v>
      </c>
      <c r="H59" s="4" t="s">
        <v>16</v>
      </c>
    </row>
    <row r="60" spans="1:8" x14ac:dyDescent="0.3">
      <c r="A60" s="4" t="s">
        <v>111</v>
      </c>
      <c r="B60" s="4" t="s">
        <v>25</v>
      </c>
      <c r="C60" s="5">
        <v>2122800</v>
      </c>
      <c r="D60" s="16" t="s">
        <v>158</v>
      </c>
      <c r="E60" s="15" t="s">
        <v>311</v>
      </c>
      <c r="F60" s="16" t="s">
        <v>312</v>
      </c>
      <c r="G60" s="4" t="s">
        <v>15</v>
      </c>
      <c r="H60" s="4" t="s">
        <v>27</v>
      </c>
    </row>
    <row r="61" spans="1:8" x14ac:dyDescent="0.3">
      <c r="A61" s="4" t="s">
        <v>113</v>
      </c>
      <c r="B61" s="4" t="s">
        <v>25</v>
      </c>
      <c r="C61" s="5">
        <v>4338360</v>
      </c>
      <c r="D61" s="3" t="s">
        <v>92</v>
      </c>
      <c r="E61" s="15" t="s">
        <v>305</v>
      </c>
      <c r="F61" s="16" t="s">
        <v>306</v>
      </c>
      <c r="G61" s="4" t="s">
        <v>15</v>
      </c>
      <c r="H61" s="4" t="s">
        <v>27</v>
      </c>
    </row>
    <row r="62" spans="1:8" s="10" customFormat="1" ht="15" thickBot="1" x14ac:dyDescent="0.35">
      <c r="A62" s="10" t="s">
        <v>114</v>
      </c>
      <c r="B62" s="4"/>
      <c r="C62" s="11">
        <f>SUM(C2:C61)</f>
        <v>104590155</v>
      </c>
      <c r="D62" s="4"/>
    </row>
    <row r="63" spans="1:8" ht="15" thickTop="1" x14ac:dyDescent="0.3"/>
    <row r="68" spans="4:4" x14ac:dyDescent="0.3">
      <c r="D68" s="12"/>
    </row>
  </sheetData>
  <conditionalFormatting sqref="F14:H15">
    <cfRule type="containsText" dxfId="637" priority="45" operator="containsText" text="No">
      <formula>NOT(ISERROR(SEARCH("No",F14)))</formula>
    </cfRule>
    <cfRule type="containsText" dxfId="636" priority="46" operator="containsText" text="Yes">
      <formula>NOT(ISERROR(SEARCH("Yes",F14)))</formula>
    </cfRule>
  </conditionalFormatting>
  <conditionalFormatting sqref="G1">
    <cfRule type="containsText" dxfId="635" priority="129" operator="containsText" text="No">
      <formula>NOT(ISERROR(SEARCH("No",G1)))</formula>
    </cfRule>
    <cfRule type="containsText" dxfId="634" priority="130" operator="containsText" text="Yes">
      <formula>NOT(ISERROR(SEARCH("Yes",G1)))</formula>
    </cfRule>
  </conditionalFormatting>
  <conditionalFormatting sqref="G16 G19">
    <cfRule type="containsText" dxfId="633" priority="119" operator="containsText" text="No">
      <formula>NOT(ISERROR(SEARCH("No",G16)))</formula>
    </cfRule>
    <cfRule type="containsText" dxfId="632" priority="120" operator="containsText" text="Yes">
      <formula>NOT(ISERROR(SEARCH("Yes",G16)))</formula>
    </cfRule>
  </conditionalFormatting>
  <conditionalFormatting sqref="G30">
    <cfRule type="containsText" dxfId="631" priority="117" operator="containsText" text="No">
      <formula>NOT(ISERROR(SEARCH("No",G30)))</formula>
    </cfRule>
    <cfRule type="containsText" dxfId="630" priority="118" operator="containsText" text="Yes">
      <formula>NOT(ISERROR(SEARCH("Yes",G30)))</formula>
    </cfRule>
  </conditionalFormatting>
  <conditionalFormatting sqref="G41">
    <cfRule type="containsText" dxfId="629" priority="133" operator="containsText" text="No">
      <formula>NOT(ISERROR(SEARCH("No",G41)))</formula>
    </cfRule>
    <cfRule type="containsText" dxfId="628" priority="134" operator="containsText" text="Yes">
      <formula>NOT(ISERROR(SEARCH("Yes",G41)))</formula>
    </cfRule>
  </conditionalFormatting>
  <conditionalFormatting sqref="G44">
    <cfRule type="containsText" dxfId="627" priority="127" operator="containsText" text="No">
      <formula>NOT(ISERROR(SEARCH("No",G44)))</formula>
    </cfRule>
    <cfRule type="containsText" dxfId="626" priority="128" operator="containsText" text="Yes">
      <formula>NOT(ISERROR(SEARCH("Yes",G44)))</formula>
    </cfRule>
  </conditionalFormatting>
  <conditionalFormatting sqref="G53">
    <cfRule type="containsText" dxfId="625" priority="125" operator="containsText" text="No">
      <formula>NOT(ISERROR(SEARCH("No",G53)))</formula>
    </cfRule>
    <cfRule type="containsText" dxfId="624" priority="126" operator="containsText" text="Yes">
      <formula>NOT(ISERROR(SEARCH("Yes",G53)))</formula>
    </cfRule>
  </conditionalFormatting>
  <conditionalFormatting sqref="G62:G1048576">
    <cfRule type="containsText" dxfId="623" priority="131" operator="containsText" text="No">
      <formula>NOT(ISERROR(SEARCH("No",G62)))</formula>
    </cfRule>
    <cfRule type="containsText" dxfId="622" priority="132" operator="containsText" text="Yes">
      <formula>NOT(ISERROR(SEARCH("Yes",G62)))</formula>
    </cfRule>
  </conditionalFormatting>
  <conditionalFormatting sqref="G2:H7">
    <cfRule type="containsText" dxfId="621" priority="3" operator="containsText" text="No">
      <formula>NOT(ISERROR(SEARCH("No",G2)))</formula>
    </cfRule>
    <cfRule type="containsText" dxfId="620" priority="4" operator="containsText" text="Yes">
      <formula>NOT(ISERROR(SEARCH("Yes",G2)))</formula>
    </cfRule>
  </conditionalFormatting>
  <conditionalFormatting sqref="G13:H13">
    <cfRule type="containsText" dxfId="619" priority="23" operator="containsText" text="No">
      <formula>NOT(ISERROR(SEARCH("No",G13)))</formula>
    </cfRule>
    <cfRule type="containsText" dxfId="618" priority="24" operator="containsText" text="Yes">
      <formula>NOT(ISERROR(SEARCH("Yes",G13)))</formula>
    </cfRule>
  </conditionalFormatting>
  <conditionalFormatting sqref="G20:H29">
    <cfRule type="containsText" dxfId="617" priority="9" operator="containsText" text="No">
      <formula>NOT(ISERROR(SEARCH("No",G20)))</formula>
    </cfRule>
    <cfRule type="containsText" dxfId="616" priority="10" operator="containsText" text="Yes">
      <formula>NOT(ISERROR(SEARCH("Yes",G20)))</formula>
    </cfRule>
  </conditionalFormatting>
  <conditionalFormatting sqref="G31:H40">
    <cfRule type="containsText" dxfId="615" priority="35" operator="containsText" text="No">
      <formula>NOT(ISERROR(SEARCH("No",G31)))</formula>
    </cfRule>
    <cfRule type="containsText" dxfId="614" priority="36" operator="containsText" text="Yes">
      <formula>NOT(ISERROR(SEARCH("Yes",G31)))</formula>
    </cfRule>
  </conditionalFormatting>
  <conditionalFormatting sqref="G42:H43">
    <cfRule type="containsText" dxfId="613" priority="111" operator="containsText" text="No">
      <formula>NOT(ISERROR(SEARCH("No",G42)))</formula>
    </cfRule>
    <cfRule type="containsText" dxfId="612" priority="112" operator="containsText" text="Yes">
      <formula>NOT(ISERROR(SEARCH("Yes",G42)))</formula>
    </cfRule>
  </conditionalFormatting>
  <conditionalFormatting sqref="G45:H52">
    <cfRule type="containsText" dxfId="611" priority="7" operator="containsText" text="No">
      <formula>NOT(ISERROR(SEARCH("No",G45)))</formula>
    </cfRule>
    <cfRule type="containsText" dxfId="610" priority="8" operator="containsText" text="Yes">
      <formula>NOT(ISERROR(SEARCH("Yes",G45)))</formula>
    </cfRule>
  </conditionalFormatting>
  <conditionalFormatting sqref="G54:H61">
    <cfRule type="containsText" dxfId="609" priority="17" operator="containsText" text="No">
      <formula>NOT(ISERROR(SEARCH("No",G54)))</formula>
    </cfRule>
    <cfRule type="containsText" dxfId="608" priority="18" operator="containsText" text="Yes">
      <formula>NOT(ISERROR(SEARCH("Yes",G54)))</formula>
    </cfRule>
  </conditionalFormatting>
  <conditionalFormatting sqref="G8:I12">
    <cfRule type="containsText" dxfId="607" priority="79" operator="containsText" text="No">
      <formula>NOT(ISERROR(SEARCH("No",G8)))</formula>
    </cfRule>
    <cfRule type="containsText" dxfId="606" priority="80" operator="containsText" text="Yes">
      <formula>NOT(ISERROR(SEARCH("Yes",G8)))</formula>
    </cfRule>
  </conditionalFormatting>
  <conditionalFormatting sqref="G17:I18">
    <cfRule type="containsText" dxfId="605" priority="1" operator="containsText" text="No">
      <formula>NOT(ISERROR(SEARCH("No",G17)))</formula>
    </cfRule>
    <cfRule type="containsText" dxfId="604" priority="2" operator="containsText" text="Yes">
      <formula>NOT(ISERROR(SEARCH("Yes",G17)))</formula>
    </cfRule>
  </conditionalFormatting>
  <conditionalFormatting sqref="H29">
    <cfRule type="containsText" dxfId="603" priority="121" operator="containsText" text="No">
      <formula>NOT(ISERROR(SEARCH("No",H29)))</formula>
    </cfRule>
    <cfRule type="containsText" dxfId="602" priority="122" operator="containsText" text="Yes">
      <formula>NOT(ISERROR(SEARCH("Yes",H29)))</formula>
    </cfRule>
  </conditionalFormatting>
  <conditionalFormatting sqref="I13:I15">
    <cfRule type="containsText" dxfId="601" priority="107" operator="containsText" text="No">
      <formula>NOT(ISERROR(SEARCH("No",I13)))</formula>
    </cfRule>
    <cfRule type="containsText" dxfId="600" priority="108" operator="containsText" text="Yes">
      <formula>NOT(ISERROR(SEARCH("Yes",I13)))</formula>
    </cfRule>
  </conditionalFormatting>
  <conditionalFormatting sqref="I20">
    <cfRule type="containsText" dxfId="599" priority="123" operator="containsText" text="No">
      <formula>NOT(ISERROR(SEARCH("No",I20)))</formula>
    </cfRule>
    <cfRule type="containsText" dxfId="598" priority="124" operator="containsText" text="Yes">
      <formula>NOT(ISERROR(SEARCH("Yes",I20)))</formula>
    </cfRule>
  </conditionalFormatting>
  <conditionalFormatting sqref="I20:I28">
    <cfRule type="containsText" dxfId="597" priority="113" operator="containsText" text="No">
      <formula>NOT(ISERROR(SEARCH("No",I20)))</formula>
    </cfRule>
    <cfRule type="containsText" dxfId="596" priority="114" operator="containsText" text="Yes">
      <formula>NOT(ISERROR(SEARCH("Yes",I20)))</formula>
    </cfRule>
  </conditionalFormatting>
  <conditionalFormatting sqref="I31">
    <cfRule type="containsText" dxfId="595" priority="115" operator="containsText" text="No">
      <formula>NOT(ISERROR(SEARCH("No",I31)))</formula>
    </cfRule>
    <cfRule type="containsText" dxfId="594" priority="116" operator="containsText" text="Yes">
      <formula>NOT(ISERROR(SEARCH("Yes",I31)))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7"/>
  <sheetViews>
    <sheetView topLeftCell="A19" workbookViewId="0">
      <selection activeCell="E39" sqref="E39"/>
    </sheetView>
  </sheetViews>
  <sheetFormatPr defaultColWidth="10" defaultRowHeight="14.4" x14ac:dyDescent="0.3"/>
  <cols>
    <col min="1" max="1" width="17.5546875" style="4" bestFit="1" customWidth="1"/>
    <col min="2" max="2" width="12.33203125" style="4" bestFit="1" customWidth="1"/>
    <col min="3" max="3" width="18.5546875" style="5" bestFit="1" customWidth="1"/>
    <col min="4" max="4" width="23.88671875" style="4" bestFit="1" customWidth="1"/>
    <col min="5" max="5" width="16.6640625" style="4" bestFit="1" customWidth="1"/>
    <col min="6" max="6" width="14.6640625" style="4" bestFit="1" customWidth="1"/>
    <col min="7" max="7" width="14.6640625" style="4" customWidth="1"/>
    <col min="8" max="8" width="12.109375" style="4" bestFit="1" customWidth="1"/>
    <col min="9" max="9" width="4.33203125" style="4" customWidth="1"/>
    <col min="10" max="16384" width="10" style="4"/>
  </cols>
  <sheetData>
    <row r="1" spans="1:9" s="1" customForma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s="1" customFormat="1" x14ac:dyDescent="0.3">
      <c r="A2" s="3" t="s">
        <v>8</v>
      </c>
      <c r="B2" s="4" t="s">
        <v>9</v>
      </c>
      <c r="C2" s="5"/>
      <c r="D2" s="3" t="s">
        <v>10</v>
      </c>
      <c r="E2" s="6"/>
      <c r="F2" s="3"/>
      <c r="G2" s="4"/>
      <c r="H2" s="4"/>
      <c r="I2" s="16"/>
    </row>
    <row r="3" spans="1:9" x14ac:dyDescent="0.3">
      <c r="A3" s="4" t="s">
        <v>12</v>
      </c>
      <c r="B3" s="4" t="s">
        <v>13</v>
      </c>
      <c r="D3" s="3" t="s">
        <v>14</v>
      </c>
      <c r="E3" s="6"/>
      <c r="F3" s="16"/>
    </row>
    <row r="4" spans="1:9" x14ac:dyDescent="0.3">
      <c r="A4" s="4" t="s">
        <v>17</v>
      </c>
      <c r="D4" s="16"/>
      <c r="E4" s="6"/>
      <c r="F4" s="3"/>
    </row>
    <row r="5" spans="1:9" x14ac:dyDescent="0.3">
      <c r="A5" s="4" t="s">
        <v>18</v>
      </c>
      <c r="B5" s="4" t="s">
        <v>13</v>
      </c>
      <c r="D5" s="3" t="s">
        <v>19</v>
      </c>
      <c r="E5" s="6"/>
      <c r="F5" s="3"/>
    </row>
    <row r="6" spans="1:9" x14ac:dyDescent="0.3">
      <c r="A6" s="4" t="s">
        <v>20</v>
      </c>
      <c r="B6" s="4" t="s">
        <v>13</v>
      </c>
      <c r="D6" s="3" t="s">
        <v>21</v>
      </c>
      <c r="E6" s="6"/>
      <c r="F6" s="3"/>
    </row>
    <row r="7" spans="1:9" x14ac:dyDescent="0.3">
      <c r="A7" s="4" t="s">
        <v>22</v>
      </c>
      <c r="B7" s="4" t="s">
        <v>13</v>
      </c>
      <c r="D7" s="3" t="s">
        <v>23</v>
      </c>
      <c r="E7" s="6"/>
      <c r="F7" s="3"/>
    </row>
    <row r="8" spans="1:9" x14ac:dyDescent="0.3">
      <c r="A8" s="4" t="s">
        <v>24</v>
      </c>
      <c r="B8" s="4" t="s">
        <v>25</v>
      </c>
      <c r="D8" s="16" t="s">
        <v>26</v>
      </c>
      <c r="E8" s="6"/>
      <c r="F8" s="3"/>
    </row>
    <row r="9" spans="1:9" x14ac:dyDescent="0.3">
      <c r="A9" s="4" t="s">
        <v>28</v>
      </c>
      <c r="D9" s="3"/>
      <c r="E9" s="6"/>
      <c r="F9" s="3"/>
    </row>
    <row r="10" spans="1:9" x14ac:dyDescent="0.3">
      <c r="A10" s="4" t="s">
        <v>30</v>
      </c>
      <c r="B10" s="4" t="s">
        <v>25</v>
      </c>
      <c r="D10" s="3" t="s">
        <v>136</v>
      </c>
      <c r="E10" s="6"/>
      <c r="F10" s="16"/>
    </row>
    <row r="11" spans="1:9" x14ac:dyDescent="0.3">
      <c r="A11" s="4" t="s">
        <v>31</v>
      </c>
      <c r="B11" s="4" t="s">
        <v>13</v>
      </c>
      <c r="D11" s="3" t="s">
        <v>152</v>
      </c>
      <c r="E11" s="6"/>
      <c r="F11" s="3"/>
    </row>
    <row r="12" spans="1:9" x14ac:dyDescent="0.3">
      <c r="A12" s="4" t="s">
        <v>32</v>
      </c>
      <c r="B12" s="4" t="s">
        <v>9</v>
      </c>
      <c r="D12" s="16" t="s">
        <v>137</v>
      </c>
      <c r="E12" s="6"/>
      <c r="F12" s="3"/>
    </row>
    <row r="13" spans="1:9" x14ac:dyDescent="0.3">
      <c r="A13" s="4" t="s">
        <v>33</v>
      </c>
      <c r="B13" s="4" t="s">
        <v>13</v>
      </c>
      <c r="D13" s="3" t="s">
        <v>34</v>
      </c>
      <c r="E13" s="6"/>
      <c r="F13" s="3"/>
    </row>
    <row r="14" spans="1:9" x14ac:dyDescent="0.3">
      <c r="A14" s="4" t="s">
        <v>35</v>
      </c>
      <c r="B14" s="4" t="s">
        <v>13</v>
      </c>
      <c r="D14" s="3" t="s">
        <v>36</v>
      </c>
      <c r="E14" s="6"/>
    </row>
    <row r="15" spans="1:9" x14ac:dyDescent="0.3">
      <c r="A15" s="4" t="s">
        <v>37</v>
      </c>
      <c r="B15" s="4" t="s">
        <v>13</v>
      </c>
      <c r="D15" s="3" t="s">
        <v>38</v>
      </c>
      <c r="E15" s="6"/>
    </row>
    <row r="16" spans="1:9" x14ac:dyDescent="0.3">
      <c r="A16" s="4" t="s">
        <v>39</v>
      </c>
      <c r="D16" s="3"/>
      <c r="E16" s="6"/>
      <c r="F16" s="3"/>
    </row>
    <row r="17" spans="1:8" x14ac:dyDescent="0.3">
      <c r="A17" s="4" t="s">
        <v>40</v>
      </c>
      <c r="B17" s="4" t="s">
        <v>13</v>
      </c>
      <c r="D17" s="3" t="s">
        <v>41</v>
      </c>
      <c r="E17" s="6"/>
      <c r="F17" s="3"/>
    </row>
    <row r="18" spans="1:8" x14ac:dyDescent="0.3">
      <c r="A18" s="4" t="s">
        <v>42</v>
      </c>
      <c r="B18" s="4" t="s">
        <v>13</v>
      </c>
      <c r="D18" s="3" t="s">
        <v>128</v>
      </c>
      <c r="E18" s="6"/>
      <c r="F18" s="3"/>
    </row>
    <row r="19" spans="1:8" x14ac:dyDescent="0.3">
      <c r="A19" s="4" t="s">
        <v>43</v>
      </c>
      <c r="D19" s="3"/>
      <c r="E19" s="6"/>
      <c r="F19" s="3"/>
    </row>
    <row r="20" spans="1:8" x14ac:dyDescent="0.3">
      <c r="A20" s="4" t="s">
        <v>44</v>
      </c>
      <c r="B20" s="4" t="s">
        <v>25</v>
      </c>
      <c r="D20" s="3" t="s">
        <v>45</v>
      </c>
      <c r="E20" s="15"/>
      <c r="F20" s="16"/>
    </row>
    <row r="21" spans="1:8" x14ac:dyDescent="0.3">
      <c r="A21" s="4" t="s">
        <v>46</v>
      </c>
      <c r="B21" s="4" t="s">
        <v>25</v>
      </c>
      <c r="D21" s="3" t="s">
        <v>47</v>
      </c>
      <c r="E21" s="6"/>
      <c r="F21" s="3"/>
    </row>
    <row r="22" spans="1:8" x14ac:dyDescent="0.3">
      <c r="A22" s="4" t="s">
        <v>49</v>
      </c>
      <c r="B22" s="4" t="s">
        <v>13</v>
      </c>
      <c r="D22" s="3" t="s">
        <v>50</v>
      </c>
      <c r="E22" s="6"/>
      <c r="F22" s="3"/>
    </row>
    <row r="23" spans="1:8" x14ac:dyDescent="0.3">
      <c r="A23" s="4" t="s">
        <v>51</v>
      </c>
      <c r="B23" s="4" t="s">
        <v>13</v>
      </c>
      <c r="C23" s="5">
        <v>1000000</v>
      </c>
      <c r="D23" s="5" t="s">
        <v>207</v>
      </c>
      <c r="E23" s="6"/>
      <c r="F23" s="3" t="s">
        <v>317</v>
      </c>
      <c r="G23" s="4" t="s">
        <v>15</v>
      </c>
      <c r="H23" s="4" t="s">
        <v>16</v>
      </c>
    </row>
    <row r="24" spans="1:8" x14ac:dyDescent="0.3">
      <c r="A24" s="4" t="s">
        <v>52</v>
      </c>
      <c r="B24" s="4" t="s">
        <v>13</v>
      </c>
      <c r="D24" s="3" t="s">
        <v>294</v>
      </c>
      <c r="E24" s="6"/>
      <c r="F24" s="3"/>
    </row>
    <row r="25" spans="1:8" x14ac:dyDescent="0.3">
      <c r="A25" s="4" t="s">
        <v>53</v>
      </c>
      <c r="B25" s="4" t="s">
        <v>9</v>
      </c>
      <c r="D25" s="3" t="s">
        <v>54</v>
      </c>
      <c r="E25" s="6"/>
      <c r="F25" s="3"/>
    </row>
    <row r="26" spans="1:8" x14ac:dyDescent="0.3">
      <c r="A26" s="4" t="s">
        <v>55</v>
      </c>
      <c r="B26" s="4" t="s">
        <v>13</v>
      </c>
      <c r="D26" s="3" t="s">
        <v>56</v>
      </c>
      <c r="E26" s="6"/>
      <c r="F26" s="3"/>
    </row>
    <row r="27" spans="1:8" x14ac:dyDescent="0.3">
      <c r="A27" s="4" t="s">
        <v>57</v>
      </c>
      <c r="B27" s="4" t="s">
        <v>13</v>
      </c>
      <c r="D27" s="3" t="s">
        <v>58</v>
      </c>
      <c r="E27" s="6"/>
      <c r="F27" s="3"/>
    </row>
    <row r="28" spans="1:8" x14ac:dyDescent="0.3">
      <c r="A28" s="4" t="s">
        <v>59</v>
      </c>
      <c r="B28" s="4" t="s">
        <v>25</v>
      </c>
      <c r="D28" s="3" t="s">
        <v>299</v>
      </c>
      <c r="E28" s="6"/>
      <c r="F28" s="3"/>
      <c r="G28" s="7"/>
      <c r="H28" s="5"/>
    </row>
    <row r="29" spans="1:8" x14ac:dyDescent="0.3">
      <c r="A29" s="4" t="s">
        <v>60</v>
      </c>
      <c r="D29" s="3"/>
      <c r="E29" s="6"/>
      <c r="F29" s="3"/>
    </row>
    <row r="30" spans="1:8" x14ac:dyDescent="0.3">
      <c r="A30" s="4" t="s">
        <v>61</v>
      </c>
      <c r="B30" s="4" t="s">
        <v>13</v>
      </c>
      <c r="D30" s="3" t="s">
        <v>243</v>
      </c>
      <c r="E30" s="6"/>
      <c r="F30" s="3"/>
    </row>
    <row r="31" spans="1:8" x14ac:dyDescent="0.3">
      <c r="A31" s="4" t="s">
        <v>63</v>
      </c>
      <c r="D31" s="3"/>
      <c r="E31" s="6"/>
      <c r="F31" s="3"/>
    </row>
    <row r="32" spans="1:8" x14ac:dyDescent="0.3">
      <c r="A32" s="4" t="s">
        <v>64</v>
      </c>
      <c r="D32" s="3"/>
      <c r="E32" s="6"/>
      <c r="F32" s="3"/>
    </row>
    <row r="33" spans="1:6" x14ac:dyDescent="0.3">
      <c r="A33" s="4" t="s">
        <v>65</v>
      </c>
      <c r="B33" s="4" t="s">
        <v>13</v>
      </c>
      <c r="D33" s="7" t="s">
        <v>66</v>
      </c>
      <c r="E33" s="6"/>
      <c r="F33" s="3"/>
    </row>
    <row r="34" spans="1:6" x14ac:dyDescent="0.3">
      <c r="A34" s="4" t="s">
        <v>67</v>
      </c>
      <c r="B34" s="4" t="s">
        <v>13</v>
      </c>
      <c r="D34" s="3" t="s">
        <v>68</v>
      </c>
      <c r="E34" s="6"/>
      <c r="F34" s="3"/>
    </row>
    <row r="35" spans="1:6" x14ac:dyDescent="0.3">
      <c r="A35" s="4" t="s">
        <v>69</v>
      </c>
      <c r="B35" s="4" t="s">
        <v>25</v>
      </c>
      <c r="D35" s="3" t="s">
        <v>70</v>
      </c>
      <c r="E35" s="6"/>
      <c r="F35" s="3"/>
    </row>
    <row r="36" spans="1:6" x14ac:dyDescent="0.3">
      <c r="A36" s="4" t="s">
        <v>71</v>
      </c>
      <c r="B36" s="4" t="s">
        <v>25</v>
      </c>
      <c r="D36" s="7" t="s">
        <v>72</v>
      </c>
      <c r="E36" s="6"/>
      <c r="F36" s="3"/>
    </row>
    <row r="37" spans="1:6" x14ac:dyDescent="0.3">
      <c r="A37" s="4" t="s">
        <v>73</v>
      </c>
      <c r="B37" s="4" t="s">
        <v>13</v>
      </c>
      <c r="D37" s="3" t="s">
        <v>74</v>
      </c>
      <c r="E37" s="6"/>
      <c r="F37" s="3"/>
    </row>
    <row r="38" spans="1:6" x14ac:dyDescent="0.3">
      <c r="A38" s="4" t="s">
        <v>75</v>
      </c>
      <c r="D38" s="3"/>
      <c r="E38" s="6"/>
      <c r="F38" s="3"/>
    </row>
    <row r="39" spans="1:6" x14ac:dyDescent="0.3">
      <c r="A39" s="4" t="s">
        <v>76</v>
      </c>
      <c r="B39" s="4" t="s">
        <v>25</v>
      </c>
      <c r="D39" s="3" t="s">
        <v>77</v>
      </c>
      <c r="E39" s="6"/>
      <c r="F39" s="3"/>
    </row>
    <row r="40" spans="1:6" x14ac:dyDescent="0.3">
      <c r="A40" s="4" t="s">
        <v>78</v>
      </c>
      <c r="D40" s="3"/>
      <c r="E40" s="6"/>
      <c r="F40" s="3"/>
    </row>
    <row r="41" spans="1:6" x14ac:dyDescent="0.3">
      <c r="A41" s="4" t="s">
        <v>79</v>
      </c>
      <c r="B41" s="4" t="s">
        <v>9</v>
      </c>
      <c r="D41" s="16" t="s">
        <v>201</v>
      </c>
      <c r="E41" s="6"/>
      <c r="F41" s="3"/>
    </row>
    <row r="42" spans="1:6" x14ac:dyDescent="0.3">
      <c r="A42" s="4" t="s">
        <v>80</v>
      </c>
      <c r="D42" s="7"/>
      <c r="E42" s="6"/>
      <c r="F42" s="3"/>
    </row>
    <row r="43" spans="1:6" x14ac:dyDescent="0.3">
      <c r="A43" s="4" t="s">
        <v>81</v>
      </c>
      <c r="B43" s="4" t="s">
        <v>9</v>
      </c>
      <c r="D43" s="3" t="s">
        <v>82</v>
      </c>
      <c r="E43" s="6"/>
      <c r="F43" s="3"/>
    </row>
    <row r="44" spans="1:6" x14ac:dyDescent="0.3">
      <c r="A44" s="4" t="s">
        <v>83</v>
      </c>
      <c r="B44" s="4" t="s">
        <v>13</v>
      </c>
      <c r="D44" s="16" t="s">
        <v>313</v>
      </c>
      <c r="E44" s="6"/>
      <c r="F44" s="16"/>
    </row>
    <row r="45" spans="1:6" x14ac:dyDescent="0.3">
      <c r="A45" s="4" t="s">
        <v>85</v>
      </c>
      <c r="B45" s="4" t="s">
        <v>13</v>
      </c>
      <c r="D45" s="3" t="s">
        <v>86</v>
      </c>
      <c r="E45" s="6"/>
      <c r="F45" s="3"/>
    </row>
    <row r="46" spans="1:6" x14ac:dyDescent="0.3">
      <c r="A46" s="4" t="s">
        <v>87</v>
      </c>
      <c r="B46" s="4" t="s">
        <v>25</v>
      </c>
      <c r="D46" s="3" t="s">
        <v>88</v>
      </c>
      <c r="E46" s="6"/>
      <c r="F46" s="3"/>
    </row>
    <row r="47" spans="1:6" x14ac:dyDescent="0.3">
      <c r="A47" s="4" t="s">
        <v>89</v>
      </c>
      <c r="B47" s="4" t="s">
        <v>13</v>
      </c>
      <c r="D47" s="3" t="s">
        <v>90</v>
      </c>
      <c r="E47" s="6"/>
      <c r="F47" s="3"/>
    </row>
    <row r="48" spans="1:6" x14ac:dyDescent="0.3">
      <c r="A48" s="4" t="s">
        <v>91</v>
      </c>
      <c r="B48" s="4" t="s">
        <v>9</v>
      </c>
      <c r="D48" s="7" t="s">
        <v>92</v>
      </c>
      <c r="E48" s="6"/>
      <c r="F48" s="3"/>
    </row>
    <row r="49" spans="1:7" x14ac:dyDescent="0.3">
      <c r="A49" s="4" t="s">
        <v>93</v>
      </c>
      <c r="B49" s="4" t="s">
        <v>13</v>
      </c>
      <c r="D49" s="3" t="s">
        <v>259</v>
      </c>
      <c r="E49" s="6"/>
      <c r="F49" s="3"/>
    </row>
    <row r="50" spans="1:7" x14ac:dyDescent="0.3">
      <c r="A50" s="4" t="s">
        <v>95</v>
      </c>
      <c r="D50" s="7"/>
      <c r="E50" s="6"/>
      <c r="F50" s="3"/>
    </row>
    <row r="51" spans="1:7" x14ac:dyDescent="0.3">
      <c r="A51" s="4" t="s">
        <v>96</v>
      </c>
      <c r="B51" s="4" t="s">
        <v>13</v>
      </c>
      <c r="D51" s="7" t="s">
        <v>307</v>
      </c>
      <c r="E51" s="6"/>
      <c r="F51" s="3"/>
    </row>
    <row r="52" spans="1:7" x14ac:dyDescent="0.3">
      <c r="A52" s="4" t="s">
        <v>98</v>
      </c>
      <c r="B52" s="4" t="s">
        <v>9</v>
      </c>
      <c r="D52" s="3" t="s">
        <v>99</v>
      </c>
      <c r="E52" s="6"/>
      <c r="F52" s="3"/>
    </row>
    <row r="53" spans="1:7" x14ac:dyDescent="0.3">
      <c r="A53" s="4" t="s">
        <v>100</v>
      </c>
      <c r="B53" s="4" t="s">
        <v>9</v>
      </c>
      <c r="D53" s="8" t="s">
        <v>101</v>
      </c>
      <c r="E53" s="9"/>
      <c r="F53" s="7"/>
      <c r="G53" s="7"/>
    </row>
    <row r="54" spans="1:7" x14ac:dyDescent="0.3">
      <c r="A54" s="4" t="s">
        <v>102</v>
      </c>
      <c r="B54" s="4" t="s">
        <v>9</v>
      </c>
      <c r="D54" s="3" t="s">
        <v>103</v>
      </c>
      <c r="E54" s="6"/>
      <c r="F54" s="3"/>
    </row>
    <row r="55" spans="1:7" x14ac:dyDescent="0.3">
      <c r="A55" s="4" t="s">
        <v>104</v>
      </c>
      <c r="B55" s="4" t="s">
        <v>9</v>
      </c>
      <c r="D55" s="3" t="s">
        <v>105</v>
      </c>
      <c r="E55" s="6"/>
      <c r="F55" s="3"/>
    </row>
    <row r="56" spans="1:7" x14ac:dyDescent="0.3">
      <c r="A56" s="4" t="s">
        <v>106</v>
      </c>
      <c r="B56" s="4" t="s">
        <v>13</v>
      </c>
      <c r="D56" s="3" t="s">
        <v>107</v>
      </c>
      <c r="E56" s="6"/>
      <c r="F56" s="3"/>
    </row>
    <row r="57" spans="1:7" x14ac:dyDescent="0.3">
      <c r="A57" s="4" t="s">
        <v>108</v>
      </c>
      <c r="B57" s="4" t="s">
        <v>13</v>
      </c>
      <c r="D57" s="7" t="s">
        <v>135</v>
      </c>
      <c r="E57" s="6"/>
      <c r="F57" s="3"/>
    </row>
    <row r="58" spans="1:7" x14ac:dyDescent="0.3">
      <c r="A58" s="4" t="s">
        <v>109</v>
      </c>
      <c r="B58" s="4" t="s">
        <v>13</v>
      </c>
      <c r="D58" s="3" t="s">
        <v>213</v>
      </c>
      <c r="E58" s="6"/>
      <c r="F58" s="3"/>
    </row>
    <row r="59" spans="1:7" x14ac:dyDescent="0.3">
      <c r="A59" s="4" t="s">
        <v>111</v>
      </c>
      <c r="B59" s="4" t="s">
        <v>25</v>
      </c>
      <c r="D59" s="16" t="s">
        <v>158</v>
      </c>
      <c r="E59" s="15"/>
      <c r="F59" s="16"/>
    </row>
    <row r="60" spans="1:7" x14ac:dyDescent="0.3">
      <c r="A60" s="4" t="s">
        <v>113</v>
      </c>
      <c r="B60" s="4" t="s">
        <v>25</v>
      </c>
      <c r="D60" s="3" t="s">
        <v>92</v>
      </c>
      <c r="E60" s="15"/>
      <c r="F60" s="16"/>
    </row>
    <row r="61" spans="1:7" s="10" customFormat="1" ht="15" thickBot="1" x14ac:dyDescent="0.35">
      <c r="A61" s="10" t="s">
        <v>114</v>
      </c>
      <c r="B61" s="4"/>
      <c r="C61" s="11">
        <f>SUM(C2:C60)</f>
        <v>1000000</v>
      </c>
      <c r="D61" s="4"/>
    </row>
    <row r="62" spans="1:7" ht="15" thickTop="1" x14ac:dyDescent="0.3"/>
    <row r="67" spans="4:4" x14ac:dyDescent="0.3">
      <c r="D67" s="12"/>
    </row>
  </sheetData>
  <conditionalFormatting sqref="F14:H15 I20:I27 G20:H28">
    <cfRule type="containsText" dxfId="593" priority="19" operator="containsText" text="No">
      <formula>NOT(ISERROR(SEARCH("No",F14)))</formula>
    </cfRule>
    <cfRule type="containsText" dxfId="592" priority="20" operator="containsText" text="Yes">
      <formula>NOT(ISERROR(SEARCH("Yes",F14)))</formula>
    </cfRule>
  </conditionalFormatting>
  <conditionalFormatting sqref="G1">
    <cfRule type="containsText" dxfId="591" priority="43" operator="containsText" text="No">
      <formula>NOT(ISERROR(SEARCH("No",G1)))</formula>
    </cfRule>
    <cfRule type="containsText" dxfId="590" priority="44" operator="containsText" text="Yes">
      <formula>NOT(ISERROR(SEARCH("Yes",G1)))</formula>
    </cfRule>
  </conditionalFormatting>
  <conditionalFormatting sqref="G16 G19">
    <cfRule type="containsText" dxfId="589" priority="33" operator="containsText" text="No">
      <formula>NOT(ISERROR(SEARCH("No",G16)))</formula>
    </cfRule>
    <cfRule type="containsText" dxfId="588" priority="34" operator="containsText" text="Yes">
      <formula>NOT(ISERROR(SEARCH("Yes",G16)))</formula>
    </cfRule>
  </conditionalFormatting>
  <conditionalFormatting sqref="G29">
    <cfRule type="containsText" dxfId="587" priority="31" operator="containsText" text="No">
      <formula>NOT(ISERROR(SEARCH("No",G29)))</formula>
    </cfRule>
    <cfRule type="containsText" dxfId="586" priority="32" operator="containsText" text="Yes">
      <formula>NOT(ISERROR(SEARCH("Yes",G29)))</formula>
    </cfRule>
  </conditionalFormatting>
  <conditionalFormatting sqref="G40">
    <cfRule type="containsText" dxfId="585" priority="47" operator="containsText" text="No">
      <formula>NOT(ISERROR(SEARCH("No",G40)))</formula>
    </cfRule>
    <cfRule type="containsText" dxfId="584" priority="48" operator="containsText" text="Yes">
      <formula>NOT(ISERROR(SEARCH("Yes",G40)))</formula>
    </cfRule>
  </conditionalFormatting>
  <conditionalFormatting sqref="G43">
    <cfRule type="containsText" dxfId="583" priority="41" operator="containsText" text="No">
      <formula>NOT(ISERROR(SEARCH("No",G43)))</formula>
    </cfRule>
    <cfRule type="containsText" dxfId="582" priority="42" operator="containsText" text="Yes">
      <formula>NOT(ISERROR(SEARCH("Yes",G43)))</formula>
    </cfRule>
  </conditionalFormatting>
  <conditionalFormatting sqref="G52">
    <cfRule type="containsText" dxfId="581" priority="39" operator="containsText" text="No">
      <formula>NOT(ISERROR(SEARCH("No",G52)))</formula>
    </cfRule>
    <cfRule type="containsText" dxfId="580" priority="40" operator="containsText" text="Yes">
      <formula>NOT(ISERROR(SEARCH("Yes",G52)))</formula>
    </cfRule>
  </conditionalFormatting>
  <conditionalFormatting sqref="G61:G1048576">
    <cfRule type="containsText" dxfId="579" priority="45" operator="containsText" text="No">
      <formula>NOT(ISERROR(SEARCH("No",G61)))</formula>
    </cfRule>
    <cfRule type="containsText" dxfId="578" priority="46" operator="containsText" text="Yes">
      <formula>NOT(ISERROR(SEARCH("Yes",G61)))</formula>
    </cfRule>
  </conditionalFormatting>
  <conditionalFormatting sqref="G2:H7">
    <cfRule type="containsText" dxfId="577" priority="3" operator="containsText" text="No">
      <formula>NOT(ISERROR(SEARCH("No",G2)))</formula>
    </cfRule>
    <cfRule type="containsText" dxfId="576" priority="4" operator="containsText" text="Yes">
      <formula>NOT(ISERROR(SEARCH("Yes",G2)))</formula>
    </cfRule>
  </conditionalFormatting>
  <conditionalFormatting sqref="G13:H13">
    <cfRule type="containsText" dxfId="575" priority="15" operator="containsText" text="No">
      <formula>NOT(ISERROR(SEARCH("No",G13)))</formula>
    </cfRule>
    <cfRule type="containsText" dxfId="574" priority="16" operator="containsText" text="Yes">
      <formula>NOT(ISERROR(SEARCH("Yes",G13)))</formula>
    </cfRule>
  </conditionalFormatting>
  <conditionalFormatting sqref="G30:H39">
    <cfRule type="containsText" dxfId="573" priority="17" operator="containsText" text="No">
      <formula>NOT(ISERROR(SEARCH("No",G30)))</formula>
    </cfRule>
    <cfRule type="containsText" dxfId="572" priority="18" operator="containsText" text="Yes">
      <formula>NOT(ISERROR(SEARCH("Yes",G30)))</formula>
    </cfRule>
  </conditionalFormatting>
  <conditionalFormatting sqref="G41:H42">
    <cfRule type="containsText" dxfId="571" priority="25" operator="containsText" text="No">
      <formula>NOT(ISERROR(SEARCH("No",G41)))</formula>
    </cfRule>
    <cfRule type="containsText" dxfId="570" priority="26" operator="containsText" text="Yes">
      <formula>NOT(ISERROR(SEARCH("Yes",G41)))</formula>
    </cfRule>
  </conditionalFormatting>
  <conditionalFormatting sqref="G44:H51">
    <cfRule type="containsText" dxfId="569" priority="7" operator="containsText" text="No">
      <formula>NOT(ISERROR(SEARCH("No",G44)))</formula>
    </cfRule>
    <cfRule type="containsText" dxfId="568" priority="8" operator="containsText" text="Yes">
      <formula>NOT(ISERROR(SEARCH("Yes",G44)))</formula>
    </cfRule>
  </conditionalFormatting>
  <conditionalFormatting sqref="G53:H60">
    <cfRule type="containsText" dxfId="567" priority="11" operator="containsText" text="No">
      <formula>NOT(ISERROR(SEARCH("No",G53)))</formula>
    </cfRule>
    <cfRule type="containsText" dxfId="566" priority="12" operator="containsText" text="Yes">
      <formula>NOT(ISERROR(SEARCH("Yes",G53)))</formula>
    </cfRule>
  </conditionalFormatting>
  <conditionalFormatting sqref="G8:I12">
    <cfRule type="containsText" dxfId="565" priority="21" operator="containsText" text="No">
      <formula>NOT(ISERROR(SEARCH("No",G8)))</formula>
    </cfRule>
    <cfRule type="containsText" dxfId="564" priority="22" operator="containsText" text="Yes">
      <formula>NOT(ISERROR(SEARCH("Yes",G8)))</formula>
    </cfRule>
  </conditionalFormatting>
  <conditionalFormatting sqref="G17:I18">
    <cfRule type="containsText" dxfId="563" priority="1" operator="containsText" text="No">
      <formula>NOT(ISERROR(SEARCH("No",G17)))</formula>
    </cfRule>
    <cfRule type="containsText" dxfId="562" priority="2" operator="containsText" text="Yes">
      <formula>NOT(ISERROR(SEARCH("Yes",G17)))</formula>
    </cfRule>
  </conditionalFormatting>
  <conditionalFormatting sqref="H28">
    <cfRule type="containsText" dxfId="561" priority="35" operator="containsText" text="No">
      <formula>NOT(ISERROR(SEARCH("No",H28)))</formula>
    </cfRule>
    <cfRule type="containsText" dxfId="560" priority="36" operator="containsText" text="Yes">
      <formula>NOT(ISERROR(SEARCH("Yes",H28)))</formula>
    </cfRule>
  </conditionalFormatting>
  <conditionalFormatting sqref="I13:I15">
    <cfRule type="containsText" dxfId="559" priority="23" operator="containsText" text="No">
      <formula>NOT(ISERROR(SEARCH("No",I13)))</formula>
    </cfRule>
    <cfRule type="containsText" dxfId="558" priority="24" operator="containsText" text="Yes">
      <formula>NOT(ISERROR(SEARCH("Yes",I13)))</formula>
    </cfRule>
  </conditionalFormatting>
  <conditionalFormatting sqref="I20">
    <cfRule type="containsText" dxfId="557" priority="37" operator="containsText" text="No">
      <formula>NOT(ISERROR(SEARCH("No",I20)))</formula>
    </cfRule>
    <cfRule type="containsText" dxfId="556" priority="38" operator="containsText" text="Yes">
      <formula>NOT(ISERROR(SEARCH("Yes",I20)))</formula>
    </cfRule>
  </conditionalFormatting>
  <conditionalFormatting sqref="I30">
    <cfRule type="containsText" dxfId="555" priority="29" operator="containsText" text="No">
      <formula>NOT(ISERROR(SEARCH("No",I30)))</formula>
    </cfRule>
    <cfRule type="containsText" dxfId="554" priority="30" operator="containsText" text="Yes">
      <formula>NOT(ISERROR(SEARCH("Yes",I30)))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67"/>
  <sheetViews>
    <sheetView workbookViewId="0">
      <selection activeCell="E1" sqref="E1"/>
    </sheetView>
  </sheetViews>
  <sheetFormatPr defaultColWidth="10" defaultRowHeight="14.4" x14ac:dyDescent="0.3"/>
  <cols>
    <col min="1" max="1" width="17.5546875" style="4" bestFit="1" customWidth="1"/>
    <col min="2" max="2" width="12.33203125" style="4" bestFit="1" customWidth="1"/>
    <col min="3" max="3" width="18.5546875" style="5" bestFit="1" customWidth="1"/>
    <col min="4" max="4" width="23.88671875" style="4" bestFit="1" customWidth="1"/>
    <col min="5" max="5" width="16.6640625" style="4" bestFit="1" customWidth="1"/>
    <col min="6" max="6" width="14.6640625" style="4" bestFit="1" customWidth="1"/>
    <col min="7" max="7" width="14.6640625" style="4" customWidth="1"/>
    <col min="8" max="8" width="12.109375" style="4" bestFit="1" customWidth="1"/>
    <col min="9" max="9" width="4.33203125" style="4" customWidth="1"/>
    <col min="10" max="16384" width="10" style="4"/>
  </cols>
  <sheetData>
    <row r="1" spans="1:9" s="1" customForma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s="1" customFormat="1" x14ac:dyDescent="0.3">
      <c r="A2" s="3" t="s">
        <v>8</v>
      </c>
      <c r="B2" s="4" t="s">
        <v>9</v>
      </c>
      <c r="C2" s="5"/>
      <c r="D2" s="3" t="s">
        <v>10</v>
      </c>
      <c r="E2" s="6"/>
      <c r="F2" s="3"/>
      <c r="G2" s="4"/>
      <c r="H2" s="4"/>
      <c r="I2" s="16"/>
    </row>
    <row r="3" spans="1:9" x14ac:dyDescent="0.3">
      <c r="A3" s="4" t="s">
        <v>12</v>
      </c>
      <c r="B3" s="4" t="s">
        <v>13</v>
      </c>
      <c r="D3" s="3" t="s">
        <v>14</v>
      </c>
      <c r="E3" s="6"/>
      <c r="F3" s="16"/>
    </row>
    <row r="4" spans="1:9" x14ac:dyDescent="0.3">
      <c r="A4" s="4" t="s">
        <v>17</v>
      </c>
      <c r="D4" s="16"/>
      <c r="E4" s="6"/>
      <c r="F4" s="3"/>
    </row>
    <row r="5" spans="1:9" x14ac:dyDescent="0.3">
      <c r="A5" s="4" t="s">
        <v>18</v>
      </c>
      <c r="B5" s="4" t="s">
        <v>13</v>
      </c>
      <c r="D5" s="3" t="s">
        <v>19</v>
      </c>
      <c r="E5" s="6"/>
      <c r="F5" s="3"/>
    </row>
    <row r="6" spans="1:9" x14ac:dyDescent="0.3">
      <c r="A6" s="4" t="s">
        <v>20</v>
      </c>
      <c r="B6" s="4" t="s">
        <v>13</v>
      </c>
      <c r="D6" s="3" t="s">
        <v>21</v>
      </c>
      <c r="E6" s="6"/>
      <c r="F6" s="3"/>
    </row>
    <row r="7" spans="1:9" x14ac:dyDescent="0.3">
      <c r="A7" s="4" t="s">
        <v>22</v>
      </c>
      <c r="B7" s="4" t="s">
        <v>13</v>
      </c>
      <c r="D7" s="3" t="s">
        <v>23</v>
      </c>
      <c r="E7" s="6"/>
      <c r="F7" s="3"/>
    </row>
    <row r="8" spans="1:9" x14ac:dyDescent="0.3">
      <c r="A8" s="4" t="s">
        <v>24</v>
      </c>
      <c r="B8" s="4" t="s">
        <v>25</v>
      </c>
      <c r="D8" s="16" t="s">
        <v>26</v>
      </c>
      <c r="E8" s="6"/>
      <c r="F8" s="3"/>
    </row>
    <row r="9" spans="1:9" x14ac:dyDescent="0.3">
      <c r="A9" s="4" t="s">
        <v>28</v>
      </c>
      <c r="D9" s="3"/>
      <c r="E9" s="6"/>
      <c r="F9" s="3"/>
    </row>
    <row r="10" spans="1:9" x14ac:dyDescent="0.3">
      <c r="A10" s="4" t="s">
        <v>30</v>
      </c>
      <c r="B10" s="4" t="s">
        <v>25</v>
      </c>
      <c r="D10" s="3" t="s">
        <v>136</v>
      </c>
      <c r="E10" s="6"/>
      <c r="F10" s="16"/>
    </row>
    <row r="11" spans="1:9" x14ac:dyDescent="0.3">
      <c r="A11" s="4" t="s">
        <v>31</v>
      </c>
      <c r="B11" s="4" t="s">
        <v>13</v>
      </c>
      <c r="D11" s="3" t="s">
        <v>152</v>
      </c>
      <c r="E11" s="6"/>
      <c r="F11" s="3"/>
    </row>
    <row r="12" spans="1:9" x14ac:dyDescent="0.3">
      <c r="A12" s="4" t="s">
        <v>32</v>
      </c>
      <c r="B12" s="4" t="s">
        <v>9</v>
      </c>
      <c r="D12" s="16" t="s">
        <v>137</v>
      </c>
      <c r="E12" s="6"/>
      <c r="F12" s="3"/>
    </row>
    <row r="13" spans="1:9" x14ac:dyDescent="0.3">
      <c r="A13" s="4" t="s">
        <v>33</v>
      </c>
      <c r="B13" s="4" t="s">
        <v>13</v>
      </c>
      <c r="D13" s="3" t="s">
        <v>34</v>
      </c>
      <c r="E13" s="6"/>
      <c r="F13" s="3"/>
    </row>
    <row r="14" spans="1:9" x14ac:dyDescent="0.3">
      <c r="A14" s="4" t="s">
        <v>35</v>
      </c>
      <c r="B14" s="4" t="s">
        <v>13</v>
      </c>
      <c r="D14" s="3" t="s">
        <v>36</v>
      </c>
      <c r="E14" s="6"/>
    </row>
    <row r="15" spans="1:9" x14ac:dyDescent="0.3">
      <c r="A15" s="4" t="s">
        <v>37</v>
      </c>
      <c r="B15" s="4" t="s">
        <v>13</v>
      </c>
      <c r="D15" s="3" t="s">
        <v>38</v>
      </c>
      <c r="E15" s="6"/>
    </row>
    <row r="16" spans="1:9" x14ac:dyDescent="0.3">
      <c r="A16" s="4" t="s">
        <v>39</v>
      </c>
      <c r="D16" s="3"/>
      <c r="E16" s="6"/>
      <c r="F16" s="3"/>
    </row>
    <row r="17" spans="1:8" x14ac:dyDescent="0.3">
      <c r="A17" s="4" t="s">
        <v>40</v>
      </c>
      <c r="B17" s="4" t="s">
        <v>13</v>
      </c>
      <c r="D17" s="3" t="s">
        <v>41</v>
      </c>
      <c r="E17" s="6"/>
      <c r="F17" s="3"/>
    </row>
    <row r="18" spans="1:8" x14ac:dyDescent="0.3">
      <c r="A18" s="4" t="s">
        <v>42</v>
      </c>
      <c r="B18" s="4" t="s">
        <v>13</v>
      </c>
      <c r="D18" s="3" t="s">
        <v>128</v>
      </c>
      <c r="E18" s="6"/>
      <c r="F18" s="3"/>
    </row>
    <row r="19" spans="1:8" x14ac:dyDescent="0.3">
      <c r="A19" s="4" t="s">
        <v>43</v>
      </c>
      <c r="D19" s="3"/>
      <c r="E19" s="6"/>
      <c r="F19" s="3"/>
    </row>
    <row r="20" spans="1:8" x14ac:dyDescent="0.3">
      <c r="A20" s="4" t="s">
        <v>44</v>
      </c>
      <c r="B20" s="4" t="s">
        <v>25</v>
      </c>
      <c r="D20" s="3" t="s">
        <v>45</v>
      </c>
      <c r="E20" s="15"/>
      <c r="F20" s="16"/>
    </row>
    <row r="21" spans="1:8" x14ac:dyDescent="0.3">
      <c r="A21" s="4" t="s">
        <v>46</v>
      </c>
      <c r="B21" s="4" t="s">
        <v>25</v>
      </c>
      <c r="D21" s="3" t="s">
        <v>47</v>
      </c>
      <c r="E21" s="6"/>
      <c r="F21" s="3"/>
    </row>
    <row r="22" spans="1:8" x14ac:dyDescent="0.3">
      <c r="A22" s="4" t="s">
        <v>49</v>
      </c>
      <c r="B22" s="4" t="s">
        <v>13</v>
      </c>
      <c r="D22" s="3" t="s">
        <v>50</v>
      </c>
      <c r="E22" s="6"/>
      <c r="F22" s="3"/>
    </row>
    <row r="23" spans="1:8" x14ac:dyDescent="0.3">
      <c r="A23" s="4" t="s">
        <v>51</v>
      </c>
      <c r="B23" s="4" t="s">
        <v>13</v>
      </c>
      <c r="D23" s="5" t="s">
        <v>207</v>
      </c>
      <c r="E23" s="6"/>
      <c r="F23" s="3"/>
    </row>
    <row r="24" spans="1:8" x14ac:dyDescent="0.3">
      <c r="A24" s="4" t="s">
        <v>52</v>
      </c>
      <c r="B24" s="4" t="s">
        <v>13</v>
      </c>
      <c r="D24" s="3" t="s">
        <v>294</v>
      </c>
      <c r="E24" s="6"/>
      <c r="F24" s="3"/>
    </row>
    <row r="25" spans="1:8" x14ac:dyDescent="0.3">
      <c r="A25" s="4" t="s">
        <v>53</v>
      </c>
      <c r="B25" s="4" t="s">
        <v>9</v>
      </c>
      <c r="D25" s="3" t="s">
        <v>54</v>
      </c>
      <c r="E25" s="6"/>
      <c r="F25" s="3"/>
    </row>
    <row r="26" spans="1:8" x14ac:dyDescent="0.3">
      <c r="A26" s="4" t="s">
        <v>55</v>
      </c>
      <c r="B26" s="4" t="s">
        <v>13</v>
      </c>
      <c r="D26" s="3" t="s">
        <v>56</v>
      </c>
      <c r="E26" s="6"/>
      <c r="F26" s="3"/>
    </row>
    <row r="27" spans="1:8" x14ac:dyDescent="0.3">
      <c r="A27" s="4" t="s">
        <v>57</v>
      </c>
      <c r="B27" s="4" t="s">
        <v>13</v>
      </c>
      <c r="D27" s="3" t="s">
        <v>58</v>
      </c>
      <c r="E27" s="6"/>
      <c r="F27" s="3"/>
    </row>
    <row r="28" spans="1:8" x14ac:dyDescent="0.3">
      <c r="A28" s="4" t="s">
        <v>59</v>
      </c>
      <c r="B28" s="4" t="s">
        <v>25</v>
      </c>
      <c r="D28" s="3" t="s">
        <v>299</v>
      </c>
      <c r="E28" s="6"/>
      <c r="F28" s="3"/>
      <c r="G28" s="7"/>
      <c r="H28" s="5"/>
    </row>
    <row r="29" spans="1:8" x14ac:dyDescent="0.3">
      <c r="A29" s="4" t="s">
        <v>60</v>
      </c>
      <c r="D29" s="3"/>
      <c r="E29" s="6"/>
      <c r="F29" s="3"/>
    </row>
    <row r="30" spans="1:8" x14ac:dyDescent="0.3">
      <c r="A30" s="4" t="s">
        <v>61</v>
      </c>
      <c r="B30" s="4" t="s">
        <v>13</v>
      </c>
      <c r="D30" s="3" t="s">
        <v>243</v>
      </c>
      <c r="E30" s="6"/>
      <c r="F30" s="3"/>
    </row>
    <row r="31" spans="1:8" x14ac:dyDescent="0.3">
      <c r="A31" s="4" t="s">
        <v>63</v>
      </c>
      <c r="D31" s="3"/>
      <c r="E31" s="6"/>
      <c r="F31" s="3"/>
    </row>
    <row r="32" spans="1:8" x14ac:dyDescent="0.3">
      <c r="A32" s="4" t="s">
        <v>64</v>
      </c>
      <c r="D32" s="3"/>
      <c r="E32" s="6"/>
      <c r="F32" s="3"/>
    </row>
    <row r="33" spans="1:6" x14ac:dyDescent="0.3">
      <c r="A33" s="4" t="s">
        <v>65</v>
      </c>
      <c r="B33" s="4" t="s">
        <v>13</v>
      </c>
      <c r="D33" s="7" t="s">
        <v>66</v>
      </c>
      <c r="E33" s="6"/>
      <c r="F33" s="3"/>
    </row>
    <row r="34" spans="1:6" x14ac:dyDescent="0.3">
      <c r="A34" s="4" t="s">
        <v>67</v>
      </c>
      <c r="B34" s="4" t="s">
        <v>13</v>
      </c>
      <c r="D34" s="3" t="s">
        <v>68</v>
      </c>
      <c r="E34" s="6"/>
      <c r="F34" s="3"/>
    </row>
    <row r="35" spans="1:6" x14ac:dyDescent="0.3">
      <c r="A35" s="4" t="s">
        <v>69</v>
      </c>
      <c r="B35" s="4" t="s">
        <v>25</v>
      </c>
      <c r="D35" s="3" t="s">
        <v>70</v>
      </c>
      <c r="E35" s="6"/>
      <c r="F35" s="3"/>
    </row>
    <row r="36" spans="1:6" x14ac:dyDescent="0.3">
      <c r="A36" s="4" t="s">
        <v>71</v>
      </c>
      <c r="B36" s="4" t="s">
        <v>25</v>
      </c>
      <c r="D36" s="7" t="s">
        <v>72</v>
      </c>
      <c r="E36" s="6"/>
      <c r="F36" s="3"/>
    </row>
    <row r="37" spans="1:6" x14ac:dyDescent="0.3">
      <c r="A37" s="4" t="s">
        <v>73</v>
      </c>
      <c r="B37" s="4" t="s">
        <v>13</v>
      </c>
      <c r="D37" s="3" t="s">
        <v>74</v>
      </c>
      <c r="E37" s="6"/>
      <c r="F37" s="3"/>
    </row>
    <row r="38" spans="1:6" x14ac:dyDescent="0.3">
      <c r="A38" s="4" t="s">
        <v>75</v>
      </c>
      <c r="D38" s="3"/>
      <c r="E38" s="6"/>
      <c r="F38" s="3"/>
    </row>
    <row r="39" spans="1:6" x14ac:dyDescent="0.3">
      <c r="A39" s="4" t="s">
        <v>76</v>
      </c>
      <c r="B39" s="4" t="s">
        <v>25</v>
      </c>
      <c r="D39" s="3" t="s">
        <v>77</v>
      </c>
      <c r="E39" s="6"/>
      <c r="F39" s="3"/>
    </row>
    <row r="40" spans="1:6" x14ac:dyDescent="0.3">
      <c r="A40" s="4" t="s">
        <v>78</v>
      </c>
      <c r="D40" s="3"/>
      <c r="E40" s="6"/>
      <c r="F40" s="3"/>
    </row>
    <row r="41" spans="1:6" x14ac:dyDescent="0.3">
      <c r="A41" s="4" t="s">
        <v>79</v>
      </c>
      <c r="B41" s="4" t="s">
        <v>9</v>
      </c>
      <c r="D41" s="16" t="s">
        <v>201</v>
      </c>
      <c r="E41" s="6"/>
      <c r="F41" s="3"/>
    </row>
    <row r="42" spans="1:6" x14ac:dyDescent="0.3">
      <c r="A42" s="4" t="s">
        <v>80</v>
      </c>
      <c r="D42" s="7"/>
      <c r="E42" s="6"/>
      <c r="F42" s="3"/>
    </row>
    <row r="43" spans="1:6" x14ac:dyDescent="0.3">
      <c r="A43" s="4" t="s">
        <v>81</v>
      </c>
      <c r="B43" s="4" t="s">
        <v>9</v>
      </c>
      <c r="D43" s="3" t="s">
        <v>82</v>
      </c>
      <c r="E43" s="6"/>
      <c r="F43" s="3"/>
    </row>
    <row r="44" spans="1:6" x14ac:dyDescent="0.3">
      <c r="A44" s="4" t="s">
        <v>83</v>
      </c>
      <c r="B44" s="4" t="s">
        <v>13</v>
      </c>
      <c r="D44" s="16" t="s">
        <v>313</v>
      </c>
      <c r="E44" s="6"/>
      <c r="F44" s="16"/>
    </row>
    <row r="45" spans="1:6" x14ac:dyDescent="0.3">
      <c r="A45" s="4" t="s">
        <v>85</v>
      </c>
      <c r="B45" s="4" t="s">
        <v>13</v>
      </c>
      <c r="D45" s="3" t="s">
        <v>86</v>
      </c>
      <c r="E45" s="6"/>
      <c r="F45" s="3"/>
    </row>
    <row r="46" spans="1:6" x14ac:dyDescent="0.3">
      <c r="A46" s="4" t="s">
        <v>87</v>
      </c>
      <c r="B46" s="4" t="s">
        <v>25</v>
      </c>
      <c r="D46" s="3" t="s">
        <v>88</v>
      </c>
      <c r="E46" s="6"/>
      <c r="F46" s="3"/>
    </row>
    <row r="47" spans="1:6" x14ac:dyDescent="0.3">
      <c r="A47" s="4" t="s">
        <v>89</v>
      </c>
      <c r="B47" s="4" t="s">
        <v>13</v>
      </c>
      <c r="D47" s="3" t="s">
        <v>90</v>
      </c>
      <c r="E47" s="6"/>
      <c r="F47" s="3"/>
    </row>
    <row r="48" spans="1:6" x14ac:dyDescent="0.3">
      <c r="A48" s="4" t="s">
        <v>91</v>
      </c>
      <c r="B48" s="4" t="s">
        <v>9</v>
      </c>
      <c r="D48" s="7" t="s">
        <v>92</v>
      </c>
      <c r="E48" s="6"/>
      <c r="F48" s="3"/>
    </row>
    <row r="49" spans="1:7" x14ac:dyDescent="0.3">
      <c r="A49" s="4" t="s">
        <v>93</v>
      </c>
      <c r="B49" s="4" t="s">
        <v>13</v>
      </c>
      <c r="D49" s="3" t="s">
        <v>259</v>
      </c>
      <c r="E49" s="6"/>
      <c r="F49" s="3"/>
    </row>
    <row r="50" spans="1:7" x14ac:dyDescent="0.3">
      <c r="A50" s="4" t="s">
        <v>95</v>
      </c>
      <c r="D50" s="7"/>
      <c r="E50" s="6"/>
      <c r="F50" s="3"/>
    </row>
    <row r="51" spans="1:7" x14ac:dyDescent="0.3">
      <c r="A51" s="4" t="s">
        <v>96</v>
      </c>
      <c r="B51" s="4" t="s">
        <v>13</v>
      </c>
      <c r="D51" s="7" t="s">
        <v>307</v>
      </c>
      <c r="E51" s="6"/>
      <c r="F51" s="3"/>
    </row>
    <row r="52" spans="1:7" x14ac:dyDescent="0.3">
      <c r="A52" s="4" t="s">
        <v>98</v>
      </c>
      <c r="B52" s="4" t="s">
        <v>9</v>
      </c>
      <c r="D52" s="3" t="s">
        <v>99</v>
      </c>
      <c r="E52" s="6"/>
      <c r="F52" s="3"/>
    </row>
    <row r="53" spans="1:7" x14ac:dyDescent="0.3">
      <c r="A53" s="4" t="s">
        <v>100</v>
      </c>
      <c r="B53" s="4" t="s">
        <v>9</v>
      </c>
      <c r="D53" s="8" t="s">
        <v>101</v>
      </c>
      <c r="E53" s="9"/>
      <c r="F53" s="7"/>
      <c r="G53" s="7"/>
    </row>
    <row r="54" spans="1:7" x14ac:dyDescent="0.3">
      <c r="A54" s="4" t="s">
        <v>102</v>
      </c>
      <c r="B54" s="4" t="s">
        <v>9</v>
      </c>
      <c r="D54" s="3" t="s">
        <v>103</v>
      </c>
      <c r="E54" s="6"/>
      <c r="F54" s="3"/>
    </row>
    <row r="55" spans="1:7" x14ac:dyDescent="0.3">
      <c r="A55" s="4" t="s">
        <v>104</v>
      </c>
      <c r="B55" s="4" t="s">
        <v>9</v>
      </c>
      <c r="D55" s="3" t="s">
        <v>105</v>
      </c>
      <c r="E55" s="6"/>
      <c r="F55" s="3"/>
    </row>
    <row r="56" spans="1:7" x14ac:dyDescent="0.3">
      <c r="A56" s="4" t="s">
        <v>106</v>
      </c>
      <c r="B56" s="4" t="s">
        <v>13</v>
      </c>
      <c r="D56" s="3" t="s">
        <v>107</v>
      </c>
      <c r="E56" s="6"/>
      <c r="F56" s="3"/>
    </row>
    <row r="57" spans="1:7" x14ac:dyDescent="0.3">
      <c r="A57" s="4" t="s">
        <v>108</v>
      </c>
      <c r="B57" s="4" t="s">
        <v>13</v>
      </c>
      <c r="D57" s="7" t="s">
        <v>135</v>
      </c>
      <c r="E57" s="6"/>
      <c r="F57" s="3"/>
    </row>
    <row r="58" spans="1:7" x14ac:dyDescent="0.3">
      <c r="A58" s="4" t="s">
        <v>109</v>
      </c>
      <c r="B58" s="4" t="s">
        <v>13</v>
      </c>
      <c r="D58" s="3" t="s">
        <v>213</v>
      </c>
      <c r="E58" s="6"/>
      <c r="F58" s="3"/>
    </row>
    <row r="59" spans="1:7" x14ac:dyDescent="0.3">
      <c r="A59" s="4" t="s">
        <v>111</v>
      </c>
      <c r="B59" s="4" t="s">
        <v>25</v>
      </c>
      <c r="D59" s="16" t="s">
        <v>158</v>
      </c>
      <c r="E59" s="15"/>
      <c r="F59" s="16"/>
    </row>
    <row r="60" spans="1:7" x14ac:dyDescent="0.3">
      <c r="A60" s="4" t="s">
        <v>113</v>
      </c>
      <c r="B60" s="4" t="s">
        <v>25</v>
      </c>
      <c r="D60" s="3" t="s">
        <v>92</v>
      </c>
      <c r="E60" s="15"/>
      <c r="F60" s="16"/>
    </row>
    <row r="61" spans="1:7" s="10" customFormat="1" ht="15" thickBot="1" x14ac:dyDescent="0.35">
      <c r="A61" s="10" t="s">
        <v>114</v>
      </c>
      <c r="B61" s="4"/>
      <c r="C61" s="11">
        <f>SUM(C2:C60)</f>
        <v>0</v>
      </c>
      <c r="D61" s="4"/>
    </row>
    <row r="62" spans="1:7" ht="15" thickTop="1" x14ac:dyDescent="0.3"/>
    <row r="67" spans="4:4" x14ac:dyDescent="0.3">
      <c r="D67" s="12"/>
    </row>
  </sheetData>
  <conditionalFormatting sqref="F14:H15 I20:I27 G20:H28">
    <cfRule type="containsText" dxfId="553" priority="17" operator="containsText" text="No">
      <formula>NOT(ISERROR(SEARCH("No",F14)))</formula>
    </cfRule>
    <cfRule type="containsText" dxfId="552" priority="18" operator="containsText" text="Yes">
      <formula>NOT(ISERROR(SEARCH("Yes",F14)))</formula>
    </cfRule>
  </conditionalFormatting>
  <conditionalFormatting sqref="G1">
    <cfRule type="containsText" dxfId="551" priority="39" operator="containsText" text="No">
      <formula>NOT(ISERROR(SEARCH("No",G1)))</formula>
    </cfRule>
    <cfRule type="containsText" dxfId="550" priority="40" operator="containsText" text="Yes">
      <formula>NOT(ISERROR(SEARCH("Yes",G1)))</formula>
    </cfRule>
  </conditionalFormatting>
  <conditionalFormatting sqref="G16 G19">
    <cfRule type="containsText" dxfId="549" priority="29" operator="containsText" text="No">
      <formula>NOT(ISERROR(SEARCH("No",G16)))</formula>
    </cfRule>
    <cfRule type="containsText" dxfId="548" priority="30" operator="containsText" text="Yes">
      <formula>NOT(ISERROR(SEARCH("Yes",G16)))</formula>
    </cfRule>
  </conditionalFormatting>
  <conditionalFormatting sqref="G29">
    <cfRule type="containsText" dxfId="547" priority="27" operator="containsText" text="No">
      <formula>NOT(ISERROR(SEARCH("No",G29)))</formula>
    </cfRule>
    <cfRule type="containsText" dxfId="546" priority="28" operator="containsText" text="Yes">
      <formula>NOT(ISERROR(SEARCH("Yes",G29)))</formula>
    </cfRule>
  </conditionalFormatting>
  <conditionalFormatting sqref="G40">
    <cfRule type="containsText" dxfId="545" priority="43" operator="containsText" text="No">
      <formula>NOT(ISERROR(SEARCH("No",G40)))</formula>
    </cfRule>
    <cfRule type="containsText" dxfId="544" priority="44" operator="containsText" text="Yes">
      <formula>NOT(ISERROR(SEARCH("Yes",G40)))</formula>
    </cfRule>
  </conditionalFormatting>
  <conditionalFormatting sqref="G43">
    <cfRule type="containsText" dxfId="543" priority="37" operator="containsText" text="No">
      <formula>NOT(ISERROR(SEARCH("No",G43)))</formula>
    </cfRule>
    <cfRule type="containsText" dxfId="542" priority="38" operator="containsText" text="Yes">
      <formula>NOT(ISERROR(SEARCH("Yes",G43)))</formula>
    </cfRule>
  </conditionalFormatting>
  <conditionalFormatting sqref="G52">
    <cfRule type="containsText" dxfId="541" priority="35" operator="containsText" text="No">
      <formula>NOT(ISERROR(SEARCH("No",G52)))</formula>
    </cfRule>
    <cfRule type="containsText" dxfId="540" priority="36" operator="containsText" text="Yes">
      <formula>NOT(ISERROR(SEARCH("Yes",G52)))</formula>
    </cfRule>
  </conditionalFormatting>
  <conditionalFormatting sqref="G61:G1048576">
    <cfRule type="containsText" dxfId="539" priority="41" operator="containsText" text="No">
      <formula>NOT(ISERROR(SEARCH("No",G61)))</formula>
    </cfRule>
    <cfRule type="containsText" dxfId="538" priority="42" operator="containsText" text="Yes">
      <formula>NOT(ISERROR(SEARCH("Yes",G61)))</formula>
    </cfRule>
  </conditionalFormatting>
  <conditionalFormatting sqref="G2:H7">
    <cfRule type="containsText" dxfId="537" priority="3" operator="containsText" text="No">
      <formula>NOT(ISERROR(SEARCH("No",G2)))</formula>
    </cfRule>
    <cfRule type="containsText" dxfId="536" priority="4" operator="containsText" text="Yes">
      <formula>NOT(ISERROR(SEARCH("Yes",G2)))</formula>
    </cfRule>
  </conditionalFormatting>
  <conditionalFormatting sqref="G13:H13">
    <cfRule type="containsText" dxfId="535" priority="13" operator="containsText" text="No">
      <formula>NOT(ISERROR(SEARCH("No",G13)))</formula>
    </cfRule>
    <cfRule type="containsText" dxfId="534" priority="14" operator="containsText" text="Yes">
      <formula>NOT(ISERROR(SEARCH("Yes",G13)))</formula>
    </cfRule>
  </conditionalFormatting>
  <conditionalFormatting sqref="G30:H39">
    <cfRule type="containsText" dxfId="533" priority="15" operator="containsText" text="No">
      <formula>NOT(ISERROR(SEARCH("No",G30)))</formula>
    </cfRule>
    <cfRule type="containsText" dxfId="532" priority="16" operator="containsText" text="Yes">
      <formula>NOT(ISERROR(SEARCH("Yes",G30)))</formula>
    </cfRule>
  </conditionalFormatting>
  <conditionalFormatting sqref="G41:H42">
    <cfRule type="containsText" dxfId="531" priority="23" operator="containsText" text="No">
      <formula>NOT(ISERROR(SEARCH("No",G41)))</formula>
    </cfRule>
    <cfRule type="containsText" dxfId="530" priority="24" operator="containsText" text="Yes">
      <formula>NOT(ISERROR(SEARCH("Yes",G41)))</formula>
    </cfRule>
  </conditionalFormatting>
  <conditionalFormatting sqref="G44:H51">
    <cfRule type="containsText" dxfId="529" priority="7" operator="containsText" text="No">
      <formula>NOT(ISERROR(SEARCH("No",G44)))</formula>
    </cfRule>
    <cfRule type="containsText" dxfId="528" priority="8" operator="containsText" text="Yes">
      <formula>NOT(ISERROR(SEARCH("Yes",G44)))</formula>
    </cfRule>
  </conditionalFormatting>
  <conditionalFormatting sqref="G53:H60">
    <cfRule type="containsText" dxfId="527" priority="9" operator="containsText" text="No">
      <formula>NOT(ISERROR(SEARCH("No",G53)))</formula>
    </cfRule>
    <cfRule type="containsText" dxfId="526" priority="10" operator="containsText" text="Yes">
      <formula>NOT(ISERROR(SEARCH("Yes",G53)))</formula>
    </cfRule>
  </conditionalFormatting>
  <conditionalFormatting sqref="G8:I12">
    <cfRule type="containsText" dxfId="525" priority="19" operator="containsText" text="No">
      <formula>NOT(ISERROR(SEARCH("No",G8)))</formula>
    </cfRule>
    <cfRule type="containsText" dxfId="524" priority="20" operator="containsText" text="Yes">
      <formula>NOT(ISERROR(SEARCH("Yes",G8)))</formula>
    </cfRule>
  </conditionalFormatting>
  <conditionalFormatting sqref="G17:I18">
    <cfRule type="containsText" dxfId="523" priority="1" operator="containsText" text="No">
      <formula>NOT(ISERROR(SEARCH("No",G17)))</formula>
    </cfRule>
    <cfRule type="containsText" dxfId="522" priority="2" operator="containsText" text="Yes">
      <formula>NOT(ISERROR(SEARCH("Yes",G17)))</formula>
    </cfRule>
  </conditionalFormatting>
  <conditionalFormatting sqref="H28">
    <cfRule type="containsText" dxfId="521" priority="31" operator="containsText" text="No">
      <formula>NOT(ISERROR(SEARCH("No",H28)))</formula>
    </cfRule>
    <cfRule type="containsText" dxfId="520" priority="32" operator="containsText" text="Yes">
      <formula>NOT(ISERROR(SEARCH("Yes",H28)))</formula>
    </cfRule>
  </conditionalFormatting>
  <conditionalFormatting sqref="I13:I15">
    <cfRule type="containsText" dxfId="519" priority="21" operator="containsText" text="No">
      <formula>NOT(ISERROR(SEARCH("No",I13)))</formula>
    </cfRule>
    <cfRule type="containsText" dxfId="518" priority="22" operator="containsText" text="Yes">
      <formula>NOT(ISERROR(SEARCH("Yes",I13)))</formula>
    </cfRule>
  </conditionalFormatting>
  <conditionalFormatting sqref="I20">
    <cfRule type="containsText" dxfId="517" priority="33" operator="containsText" text="No">
      <formula>NOT(ISERROR(SEARCH("No",I20)))</formula>
    </cfRule>
    <cfRule type="containsText" dxfId="516" priority="34" operator="containsText" text="Yes">
      <formula>NOT(ISERROR(SEARCH("Yes",I20)))</formula>
    </cfRule>
  </conditionalFormatting>
  <conditionalFormatting sqref="I30">
    <cfRule type="containsText" dxfId="515" priority="25" operator="containsText" text="No">
      <formula>NOT(ISERROR(SEARCH("No",I30)))</formula>
    </cfRule>
    <cfRule type="containsText" dxfId="514" priority="26" operator="containsText" text="Yes">
      <formula>NOT(ISERROR(SEARCH("Yes",I30)))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67"/>
  <sheetViews>
    <sheetView workbookViewId="0">
      <pane xSplit="1" ySplit="1" topLeftCell="B42" activePane="bottomRight" state="frozen"/>
      <selection pane="topRight" activeCell="B1" sqref="B1"/>
      <selection pane="bottomLeft" activeCell="A2" sqref="A2"/>
      <selection pane="bottomRight" activeCell="H58" sqref="H58"/>
    </sheetView>
  </sheetViews>
  <sheetFormatPr defaultColWidth="10" defaultRowHeight="14.4" x14ac:dyDescent="0.3"/>
  <cols>
    <col min="1" max="1" width="17.5546875" style="4" bestFit="1" customWidth="1"/>
    <col min="2" max="2" width="12.33203125" style="4" bestFit="1" customWidth="1"/>
    <col min="3" max="3" width="18.5546875" style="5" bestFit="1" customWidth="1"/>
    <col min="4" max="4" width="23.88671875" style="4" bestFit="1" customWidth="1"/>
    <col min="5" max="5" width="16.6640625" style="4" bestFit="1" customWidth="1"/>
    <col min="6" max="6" width="14.6640625" style="4" bestFit="1" customWidth="1"/>
    <col min="7" max="7" width="14.6640625" style="4" customWidth="1"/>
    <col min="8" max="8" width="12.109375" style="4" bestFit="1" customWidth="1"/>
    <col min="9" max="9" width="4.33203125" style="4" customWidth="1"/>
    <col min="10" max="16384" width="10" style="4"/>
  </cols>
  <sheetData>
    <row r="1" spans="1:9" s="1" customForma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s="1" customFormat="1" x14ac:dyDescent="0.3">
      <c r="A2" s="3" t="s">
        <v>8</v>
      </c>
      <c r="B2" s="4" t="s">
        <v>9</v>
      </c>
      <c r="C2" s="5">
        <v>6781400</v>
      </c>
      <c r="D2" s="3" t="s">
        <v>10</v>
      </c>
      <c r="E2" s="6">
        <v>21206346</v>
      </c>
      <c r="F2" s="3"/>
      <c r="G2" s="4" t="s">
        <v>11</v>
      </c>
      <c r="H2" s="4"/>
      <c r="I2" s="16"/>
    </row>
    <row r="3" spans="1:9" x14ac:dyDescent="0.3">
      <c r="A3" s="4" t="s">
        <v>12</v>
      </c>
      <c r="B3" s="4" t="s">
        <v>13</v>
      </c>
      <c r="C3" s="5">
        <v>2336450</v>
      </c>
      <c r="D3" s="3" t="s">
        <v>14</v>
      </c>
      <c r="E3" s="6"/>
      <c r="F3" s="16"/>
      <c r="G3" s="4" t="s">
        <v>15</v>
      </c>
      <c r="H3" s="4" t="s">
        <v>16</v>
      </c>
    </row>
    <row r="4" spans="1:9" x14ac:dyDescent="0.3">
      <c r="A4" s="4" t="s">
        <v>17</v>
      </c>
      <c r="D4" s="16"/>
      <c r="E4" s="6"/>
      <c r="F4" s="3"/>
    </row>
    <row r="5" spans="1:9" x14ac:dyDescent="0.3">
      <c r="A5" s="4" t="s">
        <v>18</v>
      </c>
      <c r="B5" s="4" t="s">
        <v>13</v>
      </c>
      <c r="C5" s="5">
        <v>3594200</v>
      </c>
      <c r="D5" s="3" t="s">
        <v>19</v>
      </c>
      <c r="E5" s="6">
        <v>23480376</v>
      </c>
      <c r="F5" s="3"/>
      <c r="G5" s="4" t="s">
        <v>15</v>
      </c>
      <c r="H5" s="4" t="s">
        <v>16</v>
      </c>
    </row>
    <row r="6" spans="1:9" x14ac:dyDescent="0.3">
      <c r="A6" s="4" t="s">
        <v>20</v>
      </c>
      <c r="B6" s="4" t="s">
        <v>13</v>
      </c>
      <c r="C6" s="5">
        <v>1402100</v>
      </c>
      <c r="D6" s="3" t="s">
        <v>21</v>
      </c>
      <c r="E6" s="6">
        <v>25461749</v>
      </c>
      <c r="F6" s="3"/>
      <c r="G6" s="4" t="s">
        <v>15</v>
      </c>
      <c r="H6" s="4" t="s">
        <v>16</v>
      </c>
    </row>
    <row r="7" spans="1:9" x14ac:dyDescent="0.3">
      <c r="A7" s="4" t="s">
        <v>22</v>
      </c>
      <c r="B7" s="4" t="s">
        <v>13</v>
      </c>
      <c r="C7" s="5">
        <v>2366900</v>
      </c>
      <c r="D7" s="3" t="s">
        <v>23</v>
      </c>
      <c r="E7" s="6">
        <v>23480721</v>
      </c>
      <c r="F7" s="3"/>
      <c r="G7" s="4" t="s">
        <v>15</v>
      </c>
      <c r="H7" s="4" t="s">
        <v>16</v>
      </c>
    </row>
    <row r="8" spans="1:9" x14ac:dyDescent="0.3">
      <c r="A8" s="4" t="s">
        <v>24</v>
      </c>
      <c r="B8" s="4" t="s">
        <v>25</v>
      </c>
      <c r="C8" s="5">
        <v>1956550</v>
      </c>
      <c r="D8" s="16" t="s">
        <v>26</v>
      </c>
      <c r="E8" s="6" t="s">
        <v>334</v>
      </c>
      <c r="F8" s="3" t="s">
        <v>335</v>
      </c>
      <c r="G8" s="4" t="s">
        <v>15</v>
      </c>
      <c r="H8" s="4" t="s">
        <v>27</v>
      </c>
    </row>
    <row r="9" spans="1:9" x14ac:dyDescent="0.3">
      <c r="A9" s="4" t="s">
        <v>28</v>
      </c>
      <c r="B9" s="4" t="s">
        <v>13</v>
      </c>
      <c r="C9" s="5">
        <v>3397870</v>
      </c>
      <c r="D9" s="3" t="s">
        <v>29</v>
      </c>
      <c r="E9" s="6">
        <v>23480365</v>
      </c>
      <c r="F9" s="3"/>
      <c r="G9" s="4" t="s">
        <v>15</v>
      </c>
      <c r="H9" s="4" t="s">
        <v>16</v>
      </c>
    </row>
    <row r="10" spans="1:9" x14ac:dyDescent="0.3">
      <c r="A10" s="4" t="s">
        <v>30</v>
      </c>
      <c r="B10" s="4" t="s">
        <v>25</v>
      </c>
      <c r="C10" s="5">
        <v>14401100</v>
      </c>
      <c r="D10" s="3" t="s">
        <v>136</v>
      </c>
      <c r="E10" s="6" t="s">
        <v>341</v>
      </c>
      <c r="F10" s="16" t="s">
        <v>342</v>
      </c>
      <c r="G10" s="4" t="s">
        <v>15</v>
      </c>
      <c r="H10" s="4" t="s">
        <v>27</v>
      </c>
    </row>
    <row r="11" spans="1:9" x14ac:dyDescent="0.3">
      <c r="A11" s="4" t="s">
        <v>31</v>
      </c>
      <c r="B11" s="4" t="s">
        <v>13</v>
      </c>
      <c r="C11" s="5">
        <v>4054200</v>
      </c>
      <c r="D11" s="3" t="s">
        <v>152</v>
      </c>
      <c r="E11" s="6"/>
      <c r="F11" s="3"/>
      <c r="G11" s="4" t="s">
        <v>15</v>
      </c>
      <c r="H11" s="4" t="s">
        <v>16</v>
      </c>
    </row>
    <row r="12" spans="1:9" x14ac:dyDescent="0.3">
      <c r="A12" s="4" t="s">
        <v>32</v>
      </c>
      <c r="B12" s="4" t="s">
        <v>9</v>
      </c>
      <c r="C12" s="5">
        <v>9469300</v>
      </c>
      <c r="D12" s="16" t="s">
        <v>137</v>
      </c>
      <c r="E12" s="6"/>
      <c r="F12" s="3"/>
      <c r="G12" s="4" t="s">
        <v>11</v>
      </c>
    </row>
    <row r="13" spans="1:9" x14ac:dyDescent="0.3">
      <c r="A13" s="4" t="s">
        <v>33</v>
      </c>
      <c r="B13" s="4" t="s">
        <v>13</v>
      </c>
      <c r="C13" s="5">
        <v>2557410</v>
      </c>
      <c r="D13" s="3" t="s">
        <v>323</v>
      </c>
      <c r="E13" s="6"/>
      <c r="F13" s="3"/>
      <c r="G13" s="4" t="s">
        <v>15</v>
      </c>
      <c r="H13" s="4" t="s">
        <v>16</v>
      </c>
    </row>
    <row r="14" spans="1:9" x14ac:dyDescent="0.3">
      <c r="A14" s="4" t="s">
        <v>35</v>
      </c>
      <c r="B14" s="4" t="s">
        <v>13</v>
      </c>
      <c r="C14" s="5">
        <v>726100</v>
      </c>
      <c r="D14" s="3" t="s">
        <v>36</v>
      </c>
      <c r="E14" s="6">
        <v>1234165</v>
      </c>
      <c r="G14" s="4" t="s">
        <v>15</v>
      </c>
      <c r="H14" s="4" t="s">
        <v>16</v>
      </c>
    </row>
    <row r="15" spans="1:9" x14ac:dyDescent="0.3">
      <c r="A15" s="4" t="s">
        <v>37</v>
      </c>
      <c r="B15" s="4" t="s">
        <v>13</v>
      </c>
      <c r="C15" s="5">
        <v>3305440</v>
      </c>
      <c r="D15" s="3" t="s">
        <v>38</v>
      </c>
      <c r="E15" s="6">
        <v>1230943</v>
      </c>
      <c r="G15" s="4" t="s">
        <v>15</v>
      </c>
      <c r="H15" s="4" t="s">
        <v>16</v>
      </c>
    </row>
    <row r="16" spans="1:9" x14ac:dyDescent="0.3">
      <c r="A16" s="4" t="s">
        <v>39</v>
      </c>
      <c r="D16" s="3"/>
      <c r="E16" s="6"/>
      <c r="F16" s="3"/>
    </row>
    <row r="17" spans="1:8" x14ac:dyDescent="0.3">
      <c r="A17" s="4" t="s">
        <v>40</v>
      </c>
      <c r="B17" s="4" t="s">
        <v>13</v>
      </c>
      <c r="C17" s="5">
        <v>4848400</v>
      </c>
      <c r="D17" s="3" t="s">
        <v>41</v>
      </c>
      <c r="E17" s="6">
        <v>24596038</v>
      </c>
      <c r="F17" s="3"/>
      <c r="G17" s="4" t="s">
        <v>15</v>
      </c>
      <c r="H17" s="4" t="s">
        <v>16</v>
      </c>
    </row>
    <row r="18" spans="1:8" x14ac:dyDescent="0.3">
      <c r="A18" s="4" t="s">
        <v>42</v>
      </c>
      <c r="B18" s="4" t="s">
        <v>13</v>
      </c>
      <c r="C18" s="5">
        <v>2100000</v>
      </c>
      <c r="D18" s="3" t="s">
        <v>128</v>
      </c>
      <c r="E18" s="6"/>
      <c r="F18" s="3"/>
      <c r="G18" s="4" t="s">
        <v>15</v>
      </c>
      <c r="H18" s="4" t="s">
        <v>16</v>
      </c>
    </row>
    <row r="19" spans="1:8" x14ac:dyDescent="0.3">
      <c r="A19" s="4" t="s">
        <v>43</v>
      </c>
      <c r="D19" s="3"/>
      <c r="E19" s="6"/>
      <c r="F19" s="3"/>
    </row>
    <row r="20" spans="1:8" x14ac:dyDescent="0.3">
      <c r="A20" s="4" t="s">
        <v>44</v>
      </c>
      <c r="B20" s="4" t="s">
        <v>25</v>
      </c>
      <c r="C20" s="5">
        <v>8531050</v>
      </c>
      <c r="D20" s="3" t="s">
        <v>45</v>
      </c>
      <c r="E20" s="15" t="s">
        <v>318</v>
      </c>
      <c r="F20" s="16" t="s">
        <v>319</v>
      </c>
      <c r="G20" s="4" t="s">
        <v>15</v>
      </c>
      <c r="H20" s="4" t="s">
        <v>27</v>
      </c>
    </row>
    <row r="21" spans="1:8" x14ac:dyDescent="0.3">
      <c r="A21" s="4" t="s">
        <v>46</v>
      </c>
      <c r="B21" s="4" t="s">
        <v>25</v>
      </c>
      <c r="C21" s="5">
        <v>2735800</v>
      </c>
      <c r="D21" s="3" t="s">
        <v>320</v>
      </c>
      <c r="E21" s="6" t="s">
        <v>321</v>
      </c>
      <c r="F21" s="3" t="s">
        <v>322</v>
      </c>
      <c r="G21" s="4" t="s">
        <v>15</v>
      </c>
      <c r="H21" s="4" t="s">
        <v>27</v>
      </c>
    </row>
    <row r="22" spans="1:8" x14ac:dyDescent="0.3">
      <c r="A22" s="4" t="s">
        <v>49</v>
      </c>
      <c r="B22" s="4" t="s">
        <v>13</v>
      </c>
      <c r="C22" s="5">
        <v>5091420</v>
      </c>
      <c r="D22" s="3" t="s">
        <v>50</v>
      </c>
      <c r="E22" s="6"/>
      <c r="F22" s="3"/>
      <c r="G22" s="4" t="s">
        <v>15</v>
      </c>
      <c r="H22" s="4" t="s">
        <v>16</v>
      </c>
    </row>
    <row r="23" spans="1:8" x14ac:dyDescent="0.3">
      <c r="A23" s="4" t="s">
        <v>51</v>
      </c>
      <c r="B23" s="4" t="s">
        <v>13</v>
      </c>
      <c r="C23" s="5">
        <v>2342050</v>
      </c>
      <c r="D23" s="5" t="s">
        <v>215</v>
      </c>
      <c r="E23" s="6">
        <v>1230564</v>
      </c>
      <c r="F23" s="3"/>
      <c r="G23" s="4" t="s">
        <v>15</v>
      </c>
      <c r="H23" s="4" t="s">
        <v>16</v>
      </c>
    </row>
    <row r="24" spans="1:8" x14ac:dyDescent="0.3">
      <c r="A24" s="4" t="s">
        <v>52</v>
      </c>
      <c r="B24" s="4" t="s">
        <v>13</v>
      </c>
      <c r="D24" s="3" t="s">
        <v>294</v>
      </c>
      <c r="E24" s="6"/>
      <c r="F24" s="3"/>
    </row>
    <row r="25" spans="1:8" x14ac:dyDescent="0.3">
      <c r="A25" s="4" t="s">
        <v>53</v>
      </c>
      <c r="B25" s="4" t="s">
        <v>9</v>
      </c>
      <c r="D25" s="3" t="s">
        <v>54</v>
      </c>
      <c r="E25" s="6"/>
      <c r="F25" s="3"/>
    </row>
    <row r="26" spans="1:8" x14ac:dyDescent="0.3">
      <c r="A26" s="4" t="s">
        <v>55</v>
      </c>
      <c r="B26" s="4" t="s">
        <v>13</v>
      </c>
      <c r="C26" s="5">
        <v>2544490</v>
      </c>
      <c r="D26" s="3" t="s">
        <v>56</v>
      </c>
      <c r="E26" s="6">
        <v>1226929</v>
      </c>
      <c r="F26" s="3" t="s">
        <v>324</v>
      </c>
      <c r="G26" s="4" t="s">
        <v>15</v>
      </c>
      <c r="H26" s="4" t="s">
        <v>16</v>
      </c>
    </row>
    <row r="27" spans="1:8" x14ac:dyDescent="0.3">
      <c r="A27" s="4" t="s">
        <v>57</v>
      </c>
      <c r="B27" s="4" t="s">
        <v>13</v>
      </c>
      <c r="C27" s="5">
        <v>1858165</v>
      </c>
      <c r="D27" s="3" t="s">
        <v>58</v>
      </c>
      <c r="E27" s="6">
        <v>1232712</v>
      </c>
      <c r="F27" s="3" t="s">
        <v>338</v>
      </c>
      <c r="G27" s="4" t="s">
        <v>15</v>
      </c>
      <c r="H27" s="4" t="s">
        <v>16</v>
      </c>
    </row>
    <row r="28" spans="1:8" x14ac:dyDescent="0.3">
      <c r="A28" s="4" t="s">
        <v>59</v>
      </c>
      <c r="B28" s="4" t="s">
        <v>25</v>
      </c>
      <c r="D28" s="3" t="s">
        <v>299</v>
      </c>
      <c r="E28" s="6"/>
      <c r="F28" s="3"/>
      <c r="G28" s="7"/>
      <c r="H28" s="5"/>
    </row>
    <row r="29" spans="1:8" x14ac:dyDescent="0.3">
      <c r="A29" s="4" t="s">
        <v>60</v>
      </c>
      <c r="D29" s="3"/>
      <c r="E29" s="6"/>
      <c r="F29" s="3"/>
    </row>
    <row r="30" spans="1:8" x14ac:dyDescent="0.3">
      <c r="A30" s="4" t="s">
        <v>61</v>
      </c>
      <c r="B30" s="4" t="s">
        <v>13</v>
      </c>
      <c r="C30" s="5">
        <v>4854200</v>
      </c>
      <c r="D30" s="3" t="s">
        <v>243</v>
      </c>
      <c r="E30" s="6"/>
      <c r="F30" s="3"/>
      <c r="G30" s="4" t="s">
        <v>15</v>
      </c>
      <c r="H30" s="4" t="s">
        <v>16</v>
      </c>
    </row>
    <row r="31" spans="1:8" x14ac:dyDescent="0.3">
      <c r="A31" s="4" t="s">
        <v>63</v>
      </c>
      <c r="D31" s="3"/>
      <c r="E31" s="6"/>
      <c r="F31" s="3"/>
    </row>
    <row r="32" spans="1:8" x14ac:dyDescent="0.3">
      <c r="A32" s="4" t="s">
        <v>64</v>
      </c>
      <c r="B32" s="4" t="s">
        <v>13</v>
      </c>
      <c r="C32" s="5">
        <v>2069600</v>
      </c>
      <c r="D32" s="3" t="s">
        <v>168</v>
      </c>
      <c r="E32" s="6"/>
      <c r="F32" s="3"/>
      <c r="G32" s="4" t="s">
        <v>15</v>
      </c>
      <c r="H32" s="4" t="s">
        <v>16</v>
      </c>
    </row>
    <row r="33" spans="1:8" x14ac:dyDescent="0.3">
      <c r="A33" s="4" t="s">
        <v>65</v>
      </c>
      <c r="B33" s="4" t="s">
        <v>13</v>
      </c>
      <c r="C33" s="5">
        <v>1789770</v>
      </c>
      <c r="D33" s="7" t="s">
        <v>66</v>
      </c>
      <c r="E33" s="6">
        <v>23480360</v>
      </c>
      <c r="F33" s="3"/>
      <c r="G33" s="4" t="s">
        <v>11</v>
      </c>
    </row>
    <row r="34" spans="1:8" x14ac:dyDescent="0.3">
      <c r="A34" s="4" t="s">
        <v>67</v>
      </c>
      <c r="B34" s="4" t="s">
        <v>13</v>
      </c>
      <c r="C34" s="5">
        <v>4356900</v>
      </c>
      <c r="D34" s="3" t="s">
        <v>68</v>
      </c>
      <c r="E34" s="6">
        <v>23480372</v>
      </c>
      <c r="F34" s="3"/>
      <c r="G34" s="4" t="s">
        <v>15</v>
      </c>
      <c r="H34" s="4" t="s">
        <v>16</v>
      </c>
    </row>
    <row r="35" spans="1:8" x14ac:dyDescent="0.3">
      <c r="A35" s="4" t="s">
        <v>69</v>
      </c>
      <c r="B35" s="4" t="s">
        <v>25</v>
      </c>
      <c r="C35" s="5">
        <v>2198000</v>
      </c>
      <c r="D35" s="3" t="s">
        <v>70</v>
      </c>
      <c r="E35" s="6" t="s">
        <v>327</v>
      </c>
      <c r="F35" s="3" t="s">
        <v>328</v>
      </c>
      <c r="G35" s="4" t="s">
        <v>15</v>
      </c>
      <c r="H35" s="4" t="s">
        <v>27</v>
      </c>
    </row>
    <row r="36" spans="1:8" x14ac:dyDescent="0.3">
      <c r="A36" s="4" t="s">
        <v>71</v>
      </c>
      <c r="B36" s="4" t="s">
        <v>25</v>
      </c>
      <c r="C36" s="5">
        <v>7561200</v>
      </c>
      <c r="D36" s="7" t="s">
        <v>72</v>
      </c>
      <c r="E36" s="6">
        <v>50096451</v>
      </c>
      <c r="F36" s="3"/>
      <c r="G36" s="4" t="s">
        <v>15</v>
      </c>
      <c r="H36" s="4" t="s">
        <v>27</v>
      </c>
    </row>
    <row r="37" spans="1:8" x14ac:dyDescent="0.3">
      <c r="A37" s="4" t="s">
        <v>73</v>
      </c>
      <c r="B37" s="4" t="s">
        <v>13</v>
      </c>
      <c r="C37" s="5">
        <v>1540900</v>
      </c>
      <c r="D37" s="3" t="s">
        <v>74</v>
      </c>
      <c r="E37" s="6">
        <v>1239767</v>
      </c>
      <c r="F37" s="3" t="s">
        <v>331</v>
      </c>
      <c r="G37" s="4" t="s">
        <v>15</v>
      </c>
      <c r="H37" s="4" t="s">
        <v>16</v>
      </c>
    </row>
    <row r="38" spans="1:8" x14ac:dyDescent="0.3">
      <c r="A38" s="4" t="s">
        <v>75</v>
      </c>
      <c r="D38" s="3"/>
      <c r="E38" s="6"/>
      <c r="F38" s="3"/>
    </row>
    <row r="39" spans="1:8" x14ac:dyDescent="0.3">
      <c r="A39" s="4" t="s">
        <v>76</v>
      </c>
      <c r="B39" s="4" t="s">
        <v>25</v>
      </c>
      <c r="C39" s="5">
        <v>1309350</v>
      </c>
      <c r="D39" s="3" t="s">
        <v>77</v>
      </c>
      <c r="E39" s="6"/>
      <c r="F39" s="3"/>
      <c r="G39" s="4" t="s">
        <v>15</v>
      </c>
      <c r="H39" s="4" t="s">
        <v>27</v>
      </c>
    </row>
    <row r="40" spans="1:8" x14ac:dyDescent="0.3">
      <c r="A40" s="4" t="s">
        <v>78</v>
      </c>
      <c r="B40" s="4" t="s">
        <v>13</v>
      </c>
      <c r="C40" s="5">
        <v>7000000</v>
      </c>
      <c r="D40" s="3" t="s">
        <v>343</v>
      </c>
      <c r="E40" s="6">
        <v>1246500</v>
      </c>
      <c r="F40" s="3" t="s">
        <v>344</v>
      </c>
      <c r="G40" s="4" t="s">
        <v>15</v>
      </c>
      <c r="H40" s="4" t="s">
        <v>16</v>
      </c>
    </row>
    <row r="41" spans="1:8" x14ac:dyDescent="0.3">
      <c r="A41" s="4" t="s">
        <v>79</v>
      </c>
      <c r="B41" s="4" t="s">
        <v>9</v>
      </c>
      <c r="C41" s="5">
        <v>17685700</v>
      </c>
      <c r="D41" s="16" t="s">
        <v>201</v>
      </c>
      <c r="E41" s="6"/>
      <c r="F41" s="3"/>
      <c r="G41" s="4" t="s">
        <v>11</v>
      </c>
    </row>
    <row r="42" spans="1:8" x14ac:dyDescent="0.3">
      <c r="A42" s="4" t="s">
        <v>80</v>
      </c>
      <c r="B42" s="4" t="s">
        <v>13</v>
      </c>
      <c r="C42" s="5">
        <v>1683400</v>
      </c>
      <c r="D42" s="7" t="s">
        <v>115</v>
      </c>
      <c r="E42" s="6">
        <v>23480366</v>
      </c>
      <c r="F42" s="3"/>
      <c r="G42" s="4" t="s">
        <v>15</v>
      </c>
      <c r="H42" s="4" t="s">
        <v>16</v>
      </c>
    </row>
    <row r="43" spans="1:8" x14ac:dyDescent="0.3">
      <c r="A43" s="4" t="s">
        <v>81</v>
      </c>
      <c r="B43" s="4" t="s">
        <v>9</v>
      </c>
      <c r="C43" s="5">
        <v>2106100</v>
      </c>
      <c r="D43" s="3" t="s">
        <v>82</v>
      </c>
      <c r="E43" s="6">
        <v>2126206</v>
      </c>
      <c r="F43" s="3"/>
      <c r="G43" s="4" t="s">
        <v>11</v>
      </c>
    </row>
    <row r="44" spans="1:8" x14ac:dyDescent="0.3">
      <c r="A44" s="4" t="s">
        <v>83</v>
      </c>
      <c r="B44" s="4" t="s">
        <v>13</v>
      </c>
      <c r="C44" s="5">
        <v>3937250</v>
      </c>
      <c r="D44" s="16" t="s">
        <v>313</v>
      </c>
      <c r="E44" s="6">
        <v>1253391</v>
      </c>
      <c r="F44" s="16" t="s">
        <v>339</v>
      </c>
      <c r="G44" s="4" t="s">
        <v>15</v>
      </c>
      <c r="H44" s="4" t="s">
        <v>16</v>
      </c>
    </row>
    <row r="45" spans="1:8" x14ac:dyDescent="0.3">
      <c r="A45" s="4" t="s">
        <v>85</v>
      </c>
      <c r="B45" s="4" t="s">
        <v>13</v>
      </c>
      <c r="C45" s="5">
        <v>7951900</v>
      </c>
      <c r="D45" s="3" t="s">
        <v>86</v>
      </c>
      <c r="E45" s="6">
        <v>1256575</v>
      </c>
      <c r="F45" s="3" t="s">
        <v>340</v>
      </c>
      <c r="G45" s="4" t="s">
        <v>15</v>
      </c>
      <c r="H45" s="4" t="s">
        <v>16</v>
      </c>
    </row>
    <row r="46" spans="1:8" x14ac:dyDescent="0.3">
      <c r="A46" s="4" t="s">
        <v>87</v>
      </c>
      <c r="B46" s="4" t="s">
        <v>25</v>
      </c>
      <c r="C46" s="5">
        <v>1444000</v>
      </c>
      <c r="D46" s="3" t="s">
        <v>88</v>
      </c>
      <c r="E46" s="6" t="s">
        <v>336</v>
      </c>
      <c r="F46" s="3" t="s">
        <v>337</v>
      </c>
      <c r="G46" s="4" t="s">
        <v>15</v>
      </c>
      <c r="H46" s="4" t="s">
        <v>27</v>
      </c>
    </row>
    <row r="47" spans="1:8" x14ac:dyDescent="0.3">
      <c r="A47" s="4" t="s">
        <v>89</v>
      </c>
      <c r="B47" s="4" t="s">
        <v>13</v>
      </c>
      <c r="C47" s="5">
        <v>5592700</v>
      </c>
      <c r="D47" s="3" t="s">
        <v>90</v>
      </c>
      <c r="E47" s="6"/>
      <c r="F47" s="3"/>
      <c r="G47" s="4" t="s">
        <v>15</v>
      </c>
      <c r="H47" s="4" t="s">
        <v>16</v>
      </c>
    </row>
    <row r="48" spans="1:8" x14ac:dyDescent="0.3">
      <c r="A48" s="4" t="s">
        <v>91</v>
      </c>
      <c r="B48" s="4" t="s">
        <v>9</v>
      </c>
      <c r="C48" s="5">
        <v>2700000</v>
      </c>
      <c r="D48" s="7" t="s">
        <v>92</v>
      </c>
      <c r="E48" s="6">
        <v>17705346</v>
      </c>
      <c r="F48" s="3"/>
      <c r="G48" s="4" t="s">
        <v>11</v>
      </c>
    </row>
    <row r="49" spans="1:8" x14ac:dyDescent="0.3">
      <c r="A49" s="4" t="s">
        <v>93</v>
      </c>
      <c r="B49" s="4" t="s">
        <v>13</v>
      </c>
      <c r="C49" s="5">
        <v>4287200</v>
      </c>
      <c r="D49" s="3" t="s">
        <v>259</v>
      </c>
      <c r="E49" s="6">
        <v>1234365</v>
      </c>
      <c r="F49" s="3" t="s">
        <v>325</v>
      </c>
      <c r="G49" s="4" t="s">
        <v>15</v>
      </c>
      <c r="H49" s="4" t="s">
        <v>16</v>
      </c>
    </row>
    <row r="50" spans="1:8" x14ac:dyDescent="0.3">
      <c r="A50" s="4" t="s">
        <v>95</v>
      </c>
      <c r="B50" s="4" t="s">
        <v>13</v>
      </c>
      <c r="C50" s="5">
        <v>2500000</v>
      </c>
      <c r="D50" s="7" t="s">
        <v>332</v>
      </c>
      <c r="E50" s="6">
        <v>1244548</v>
      </c>
      <c r="F50" s="3"/>
      <c r="G50" s="4" t="s">
        <v>15</v>
      </c>
      <c r="H50" s="4" t="s">
        <v>16</v>
      </c>
    </row>
    <row r="51" spans="1:8" x14ac:dyDescent="0.3">
      <c r="A51" s="4" t="s">
        <v>96</v>
      </c>
      <c r="B51" s="4" t="s">
        <v>13</v>
      </c>
      <c r="C51" s="5">
        <v>3433000</v>
      </c>
      <c r="D51" s="7" t="s">
        <v>307</v>
      </c>
      <c r="E51" s="6"/>
      <c r="F51" s="19" t="s">
        <v>333</v>
      </c>
      <c r="G51" s="4" t="s">
        <v>15</v>
      </c>
      <c r="H51" s="4" t="s">
        <v>16</v>
      </c>
    </row>
    <row r="52" spans="1:8" x14ac:dyDescent="0.3">
      <c r="A52" s="4" t="s">
        <v>98</v>
      </c>
      <c r="B52" s="4" t="s">
        <v>9</v>
      </c>
      <c r="C52" s="5">
        <v>2405000</v>
      </c>
      <c r="D52" s="3" t="s">
        <v>99</v>
      </c>
      <c r="E52" s="6">
        <v>2126204</v>
      </c>
      <c r="F52" s="3"/>
      <c r="G52" s="4" t="s">
        <v>11</v>
      </c>
    </row>
    <row r="53" spans="1:8" x14ac:dyDescent="0.3">
      <c r="A53" s="4" t="s">
        <v>100</v>
      </c>
      <c r="B53" s="4" t="s">
        <v>9</v>
      </c>
      <c r="C53" s="5">
        <v>3675800</v>
      </c>
      <c r="D53" s="8" t="s">
        <v>326</v>
      </c>
      <c r="E53" s="9">
        <v>4511279</v>
      </c>
      <c r="F53" s="7"/>
      <c r="G53" s="7" t="s">
        <v>11</v>
      </c>
    </row>
    <row r="54" spans="1:8" x14ac:dyDescent="0.3">
      <c r="A54" s="4" t="s">
        <v>102</v>
      </c>
      <c r="B54" s="4" t="s">
        <v>9</v>
      </c>
      <c r="C54" s="5">
        <v>6205500</v>
      </c>
      <c r="D54" s="3" t="s">
        <v>103</v>
      </c>
      <c r="E54" s="6">
        <v>618785</v>
      </c>
      <c r="F54" s="3"/>
      <c r="G54" s="4" t="s">
        <v>11</v>
      </c>
    </row>
    <row r="55" spans="1:8" x14ac:dyDescent="0.3">
      <c r="A55" s="4" t="s">
        <v>104</v>
      </c>
      <c r="B55" s="4" t="s">
        <v>9</v>
      </c>
      <c r="C55" s="5">
        <v>7943350</v>
      </c>
      <c r="D55" s="3" t="s">
        <v>105</v>
      </c>
      <c r="E55" s="6">
        <v>97106</v>
      </c>
      <c r="F55" s="3"/>
      <c r="G55" s="4" t="s">
        <v>11</v>
      </c>
    </row>
    <row r="56" spans="1:8" x14ac:dyDescent="0.3">
      <c r="A56" s="4" t="s">
        <v>106</v>
      </c>
      <c r="B56" s="4" t="s">
        <v>13</v>
      </c>
      <c r="C56" s="5">
        <v>6924600</v>
      </c>
      <c r="D56" s="3" t="s">
        <v>107</v>
      </c>
      <c r="E56" s="6"/>
      <c r="F56" s="3"/>
      <c r="G56" s="4" t="s">
        <v>15</v>
      </c>
      <c r="H56" s="4" t="s">
        <v>16</v>
      </c>
    </row>
    <row r="57" spans="1:8" x14ac:dyDescent="0.3">
      <c r="A57" s="4" t="s">
        <v>108</v>
      </c>
      <c r="B57" s="4" t="s">
        <v>13</v>
      </c>
      <c r="C57" s="5">
        <v>9384090</v>
      </c>
      <c r="D57" s="7" t="s">
        <v>135</v>
      </c>
      <c r="E57" s="6">
        <v>228890004</v>
      </c>
      <c r="F57" s="3"/>
      <c r="G57" s="4" t="s">
        <v>15</v>
      </c>
      <c r="H57" s="4" t="s">
        <v>16</v>
      </c>
    </row>
    <row r="58" spans="1:8" x14ac:dyDescent="0.3">
      <c r="A58" s="4" t="s">
        <v>109</v>
      </c>
      <c r="B58" s="4" t="s">
        <v>13</v>
      </c>
      <c r="C58" s="5">
        <v>5426550</v>
      </c>
      <c r="D58" s="3" t="s">
        <v>110</v>
      </c>
      <c r="E58" s="6"/>
      <c r="F58" s="3"/>
      <c r="G58" s="4" t="s">
        <v>15</v>
      </c>
      <c r="H58" s="4" t="s">
        <v>16</v>
      </c>
    </row>
    <row r="59" spans="1:8" x14ac:dyDescent="0.3">
      <c r="A59" s="4" t="s">
        <v>111</v>
      </c>
      <c r="B59" s="4" t="s">
        <v>25</v>
      </c>
      <c r="C59" s="5">
        <v>4543750</v>
      </c>
      <c r="D59" s="16" t="s">
        <v>158</v>
      </c>
      <c r="E59" s="15">
        <v>91545536</v>
      </c>
      <c r="F59" s="16"/>
      <c r="G59" s="4" t="s">
        <v>15</v>
      </c>
      <c r="H59" s="4" t="s">
        <v>27</v>
      </c>
    </row>
    <row r="60" spans="1:8" x14ac:dyDescent="0.3">
      <c r="A60" s="4" t="s">
        <v>113</v>
      </c>
      <c r="B60" s="4" t="s">
        <v>25</v>
      </c>
      <c r="C60" s="5">
        <v>12397720</v>
      </c>
      <c r="D60" s="3" t="s">
        <v>92</v>
      </c>
      <c r="E60" s="15" t="s">
        <v>329</v>
      </c>
      <c r="F60" s="16" t="s">
        <v>330</v>
      </c>
      <c r="G60" s="4" t="s">
        <v>15</v>
      </c>
      <c r="H60" s="4" t="s">
        <v>27</v>
      </c>
    </row>
    <row r="61" spans="1:8" s="10" customFormat="1" ht="15" thickBot="1" x14ac:dyDescent="0.35">
      <c r="A61" s="10" t="s">
        <v>114</v>
      </c>
      <c r="B61" s="4"/>
      <c r="C61" s="11">
        <f>SUM(C2:C60)</f>
        <v>231307925</v>
      </c>
      <c r="D61" s="4"/>
    </row>
    <row r="62" spans="1:8" ht="15" thickTop="1" x14ac:dyDescent="0.3"/>
    <row r="67" spans="4:4" x14ac:dyDescent="0.3">
      <c r="D67" s="12"/>
    </row>
  </sheetData>
  <conditionalFormatting sqref="F14:H15 I20:I27 G20:H28">
    <cfRule type="containsText" dxfId="513" priority="17" operator="containsText" text="No">
      <formula>NOT(ISERROR(SEARCH("No",F14)))</formula>
    </cfRule>
    <cfRule type="containsText" dxfId="512" priority="18" operator="containsText" text="Yes">
      <formula>NOT(ISERROR(SEARCH("Yes",F14)))</formula>
    </cfRule>
  </conditionalFormatting>
  <conditionalFormatting sqref="G1">
    <cfRule type="containsText" dxfId="511" priority="39" operator="containsText" text="No">
      <formula>NOT(ISERROR(SEARCH("No",G1)))</formula>
    </cfRule>
    <cfRule type="containsText" dxfId="510" priority="40" operator="containsText" text="Yes">
      <formula>NOT(ISERROR(SEARCH("Yes",G1)))</formula>
    </cfRule>
  </conditionalFormatting>
  <conditionalFormatting sqref="G16 G19">
    <cfRule type="containsText" dxfId="509" priority="29" operator="containsText" text="No">
      <formula>NOT(ISERROR(SEARCH("No",G16)))</formula>
    </cfRule>
    <cfRule type="containsText" dxfId="508" priority="30" operator="containsText" text="Yes">
      <formula>NOT(ISERROR(SEARCH("Yes",G16)))</formula>
    </cfRule>
  </conditionalFormatting>
  <conditionalFormatting sqref="G29">
    <cfRule type="containsText" dxfId="507" priority="27" operator="containsText" text="No">
      <formula>NOT(ISERROR(SEARCH("No",G29)))</formula>
    </cfRule>
    <cfRule type="containsText" dxfId="506" priority="28" operator="containsText" text="Yes">
      <formula>NOT(ISERROR(SEARCH("Yes",G29)))</formula>
    </cfRule>
  </conditionalFormatting>
  <conditionalFormatting sqref="G40">
    <cfRule type="containsText" dxfId="505" priority="43" operator="containsText" text="No">
      <formula>NOT(ISERROR(SEARCH("No",G40)))</formula>
    </cfRule>
    <cfRule type="containsText" dxfId="504" priority="44" operator="containsText" text="Yes">
      <formula>NOT(ISERROR(SEARCH("Yes",G40)))</formula>
    </cfRule>
  </conditionalFormatting>
  <conditionalFormatting sqref="G43">
    <cfRule type="containsText" dxfId="503" priority="37" operator="containsText" text="No">
      <formula>NOT(ISERROR(SEARCH("No",G43)))</formula>
    </cfRule>
    <cfRule type="containsText" dxfId="502" priority="38" operator="containsText" text="Yes">
      <formula>NOT(ISERROR(SEARCH("Yes",G43)))</formula>
    </cfRule>
  </conditionalFormatting>
  <conditionalFormatting sqref="G52">
    <cfRule type="containsText" dxfId="501" priority="35" operator="containsText" text="No">
      <formula>NOT(ISERROR(SEARCH("No",G52)))</formula>
    </cfRule>
    <cfRule type="containsText" dxfId="500" priority="36" operator="containsText" text="Yes">
      <formula>NOT(ISERROR(SEARCH("Yes",G52)))</formula>
    </cfRule>
  </conditionalFormatting>
  <conditionalFormatting sqref="G61:G1048576">
    <cfRule type="containsText" dxfId="499" priority="41" operator="containsText" text="No">
      <formula>NOT(ISERROR(SEARCH("No",G61)))</formula>
    </cfRule>
    <cfRule type="containsText" dxfId="498" priority="42" operator="containsText" text="Yes">
      <formula>NOT(ISERROR(SEARCH("Yes",G61)))</formula>
    </cfRule>
  </conditionalFormatting>
  <conditionalFormatting sqref="G2:H7">
    <cfRule type="containsText" dxfId="497" priority="3" operator="containsText" text="No">
      <formula>NOT(ISERROR(SEARCH("No",G2)))</formula>
    </cfRule>
    <cfRule type="containsText" dxfId="496" priority="4" operator="containsText" text="Yes">
      <formula>NOT(ISERROR(SEARCH("Yes",G2)))</formula>
    </cfRule>
  </conditionalFormatting>
  <conditionalFormatting sqref="G13:H13">
    <cfRule type="containsText" dxfId="495" priority="13" operator="containsText" text="No">
      <formula>NOT(ISERROR(SEARCH("No",G13)))</formula>
    </cfRule>
    <cfRule type="containsText" dxfId="494" priority="14" operator="containsText" text="Yes">
      <formula>NOT(ISERROR(SEARCH("Yes",G13)))</formula>
    </cfRule>
  </conditionalFormatting>
  <conditionalFormatting sqref="G30:H39">
    <cfRule type="containsText" dxfId="493" priority="15" operator="containsText" text="No">
      <formula>NOT(ISERROR(SEARCH("No",G30)))</formula>
    </cfRule>
    <cfRule type="containsText" dxfId="492" priority="16" operator="containsText" text="Yes">
      <formula>NOT(ISERROR(SEARCH("Yes",G30)))</formula>
    </cfRule>
  </conditionalFormatting>
  <conditionalFormatting sqref="G41:H42">
    <cfRule type="containsText" dxfId="491" priority="23" operator="containsText" text="No">
      <formula>NOT(ISERROR(SEARCH("No",G41)))</formula>
    </cfRule>
    <cfRule type="containsText" dxfId="490" priority="24" operator="containsText" text="Yes">
      <formula>NOT(ISERROR(SEARCH("Yes",G41)))</formula>
    </cfRule>
  </conditionalFormatting>
  <conditionalFormatting sqref="G44:H51">
    <cfRule type="containsText" dxfId="489" priority="7" operator="containsText" text="No">
      <formula>NOT(ISERROR(SEARCH("No",G44)))</formula>
    </cfRule>
    <cfRule type="containsText" dxfId="488" priority="8" operator="containsText" text="Yes">
      <formula>NOT(ISERROR(SEARCH("Yes",G44)))</formula>
    </cfRule>
  </conditionalFormatting>
  <conditionalFormatting sqref="G53:H60">
    <cfRule type="containsText" dxfId="487" priority="9" operator="containsText" text="No">
      <formula>NOT(ISERROR(SEARCH("No",G53)))</formula>
    </cfRule>
    <cfRule type="containsText" dxfId="486" priority="10" operator="containsText" text="Yes">
      <formula>NOT(ISERROR(SEARCH("Yes",G53)))</formula>
    </cfRule>
  </conditionalFormatting>
  <conditionalFormatting sqref="G8:I12">
    <cfRule type="containsText" dxfId="485" priority="19" operator="containsText" text="No">
      <formula>NOT(ISERROR(SEARCH("No",G8)))</formula>
    </cfRule>
    <cfRule type="containsText" dxfId="484" priority="20" operator="containsText" text="Yes">
      <formula>NOT(ISERROR(SEARCH("Yes",G8)))</formula>
    </cfRule>
  </conditionalFormatting>
  <conditionalFormatting sqref="G17:I18">
    <cfRule type="containsText" dxfId="483" priority="1" operator="containsText" text="No">
      <formula>NOT(ISERROR(SEARCH("No",G17)))</formula>
    </cfRule>
    <cfRule type="containsText" dxfId="482" priority="2" operator="containsText" text="Yes">
      <formula>NOT(ISERROR(SEARCH("Yes",G17)))</formula>
    </cfRule>
  </conditionalFormatting>
  <conditionalFormatting sqref="H28">
    <cfRule type="containsText" dxfId="481" priority="31" operator="containsText" text="No">
      <formula>NOT(ISERROR(SEARCH("No",H28)))</formula>
    </cfRule>
    <cfRule type="containsText" dxfId="480" priority="32" operator="containsText" text="Yes">
      <formula>NOT(ISERROR(SEARCH("Yes",H28)))</formula>
    </cfRule>
  </conditionalFormatting>
  <conditionalFormatting sqref="I13:I15">
    <cfRule type="containsText" dxfId="479" priority="21" operator="containsText" text="No">
      <formula>NOT(ISERROR(SEARCH("No",I13)))</formula>
    </cfRule>
    <cfRule type="containsText" dxfId="478" priority="22" operator="containsText" text="Yes">
      <formula>NOT(ISERROR(SEARCH("Yes",I13)))</formula>
    </cfRule>
  </conditionalFormatting>
  <conditionalFormatting sqref="I20">
    <cfRule type="containsText" dxfId="477" priority="33" operator="containsText" text="No">
      <formula>NOT(ISERROR(SEARCH("No",I20)))</formula>
    </cfRule>
    <cfRule type="containsText" dxfId="476" priority="34" operator="containsText" text="Yes">
      <formula>NOT(ISERROR(SEARCH("Yes",I20)))</formula>
    </cfRule>
  </conditionalFormatting>
  <conditionalFormatting sqref="I30">
    <cfRule type="containsText" dxfId="475" priority="25" operator="containsText" text="No">
      <formula>NOT(ISERROR(SEARCH("No",I30)))</formula>
    </cfRule>
    <cfRule type="containsText" dxfId="474" priority="26" operator="containsText" text="Yes">
      <formula>NOT(ISERROR(SEARCH("Yes",I30)))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67"/>
  <sheetViews>
    <sheetView workbookViewId="0">
      <pane xSplit="1" ySplit="1" topLeftCell="B40" activePane="bottomRight" state="frozen"/>
      <selection pane="topRight" activeCell="B1" sqref="B1"/>
      <selection pane="bottomLeft" activeCell="A2" sqref="A2"/>
      <selection pane="bottomRight" activeCell="C44" sqref="C44"/>
    </sheetView>
  </sheetViews>
  <sheetFormatPr defaultColWidth="10" defaultRowHeight="14.4" x14ac:dyDescent="0.3"/>
  <cols>
    <col min="1" max="1" width="17.5546875" style="4" bestFit="1" customWidth="1"/>
    <col min="2" max="2" width="12.33203125" style="4" bestFit="1" customWidth="1"/>
    <col min="3" max="3" width="18.5546875" style="5" bestFit="1" customWidth="1"/>
    <col min="4" max="4" width="23.88671875" style="4" bestFit="1" customWidth="1"/>
    <col min="5" max="5" width="16.6640625" style="4" bestFit="1" customWidth="1"/>
    <col min="6" max="6" width="14.6640625" style="4" bestFit="1" customWidth="1"/>
    <col min="7" max="7" width="14.6640625" style="4" customWidth="1"/>
    <col min="8" max="8" width="12.109375" style="4" bestFit="1" customWidth="1"/>
    <col min="9" max="9" width="4.33203125" style="4" customWidth="1"/>
    <col min="10" max="16384" width="10" style="4"/>
  </cols>
  <sheetData>
    <row r="1" spans="1:9" s="1" customForma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s="1" customFormat="1" x14ac:dyDescent="0.3">
      <c r="A2" s="3" t="s">
        <v>8</v>
      </c>
      <c r="B2" s="4" t="s">
        <v>9</v>
      </c>
      <c r="C2" s="5">
        <v>3143100</v>
      </c>
      <c r="D2" s="3" t="s">
        <v>10</v>
      </c>
      <c r="E2" s="6">
        <v>134728</v>
      </c>
      <c r="F2" s="3" t="s">
        <v>357</v>
      </c>
      <c r="G2" s="4" t="s">
        <v>15</v>
      </c>
      <c r="H2" s="4" t="s">
        <v>16</v>
      </c>
      <c r="I2" s="16"/>
    </row>
    <row r="3" spans="1:9" x14ac:dyDescent="0.3">
      <c r="A3" s="4" t="s">
        <v>12</v>
      </c>
      <c r="B3" s="4" t="s">
        <v>13</v>
      </c>
      <c r="C3" s="5">
        <v>963300</v>
      </c>
      <c r="D3" s="3" t="s">
        <v>14</v>
      </c>
      <c r="E3" s="6"/>
      <c r="F3" s="16"/>
      <c r="G3" s="4" t="s">
        <v>15</v>
      </c>
      <c r="H3" s="4" t="s">
        <v>16</v>
      </c>
    </row>
    <row r="4" spans="1:9" x14ac:dyDescent="0.3">
      <c r="A4" s="4" t="s">
        <v>17</v>
      </c>
      <c r="D4" s="16"/>
      <c r="E4" s="6"/>
      <c r="F4" s="3"/>
    </row>
    <row r="5" spans="1:9" x14ac:dyDescent="0.3">
      <c r="A5" s="4" t="s">
        <v>18</v>
      </c>
      <c r="B5" s="4" t="s">
        <v>13</v>
      </c>
      <c r="C5" s="5">
        <v>882120</v>
      </c>
      <c r="D5" s="3" t="s">
        <v>19</v>
      </c>
      <c r="E5" s="6">
        <v>23480217</v>
      </c>
      <c r="F5" s="3"/>
      <c r="G5" s="4" t="s">
        <v>15</v>
      </c>
      <c r="H5" s="4" t="s">
        <v>16</v>
      </c>
    </row>
    <row r="6" spans="1:9" x14ac:dyDescent="0.3">
      <c r="A6" s="4" t="s">
        <v>20</v>
      </c>
      <c r="B6" s="4" t="s">
        <v>13</v>
      </c>
      <c r="C6" s="5">
        <v>393500</v>
      </c>
      <c r="D6" s="3" t="s">
        <v>21</v>
      </c>
      <c r="E6" s="6">
        <v>25461307</v>
      </c>
      <c r="F6" s="3"/>
      <c r="G6" s="4" t="s">
        <v>15</v>
      </c>
      <c r="H6" s="4" t="s">
        <v>16</v>
      </c>
    </row>
    <row r="7" spans="1:9" x14ac:dyDescent="0.3">
      <c r="A7" s="4" t="s">
        <v>22</v>
      </c>
      <c r="B7" s="4" t="s">
        <v>13</v>
      </c>
      <c r="C7" s="5">
        <v>1414050</v>
      </c>
      <c r="D7" s="3" t="s">
        <v>23</v>
      </c>
      <c r="E7" s="6">
        <v>14081665</v>
      </c>
      <c r="F7" s="3"/>
      <c r="G7" s="4" t="s">
        <v>15</v>
      </c>
      <c r="H7" s="4" t="s">
        <v>16</v>
      </c>
    </row>
    <row r="8" spans="1:9" x14ac:dyDescent="0.3">
      <c r="A8" s="4" t="s">
        <v>24</v>
      </c>
      <c r="B8" s="4" t="s">
        <v>25</v>
      </c>
      <c r="C8" s="5">
        <v>1158050</v>
      </c>
      <c r="D8" s="16" t="s">
        <v>26</v>
      </c>
      <c r="E8" s="6" t="s">
        <v>350</v>
      </c>
      <c r="F8" s="3" t="s">
        <v>351</v>
      </c>
      <c r="G8" s="4" t="s">
        <v>15</v>
      </c>
      <c r="H8" s="4" t="s">
        <v>27</v>
      </c>
    </row>
    <row r="9" spans="1:9" x14ac:dyDescent="0.3">
      <c r="A9" s="4" t="s">
        <v>28</v>
      </c>
      <c r="B9" s="4" t="s">
        <v>13</v>
      </c>
      <c r="D9" s="3" t="s">
        <v>29</v>
      </c>
      <c r="E9" s="6"/>
      <c r="F9" s="3"/>
    </row>
    <row r="10" spans="1:9" x14ac:dyDescent="0.3">
      <c r="A10" s="4" t="s">
        <v>30</v>
      </c>
      <c r="B10" s="4" t="s">
        <v>25</v>
      </c>
      <c r="C10" s="5">
        <v>4859800</v>
      </c>
      <c r="D10" s="3" t="s">
        <v>136</v>
      </c>
      <c r="E10" s="6" t="s">
        <v>355</v>
      </c>
      <c r="F10" s="16"/>
      <c r="G10" s="4" t="s">
        <v>15</v>
      </c>
      <c r="H10" s="4" t="s">
        <v>27</v>
      </c>
    </row>
    <row r="11" spans="1:9" x14ac:dyDescent="0.3">
      <c r="A11" s="4" t="s">
        <v>31</v>
      </c>
      <c r="B11" s="4" t="s">
        <v>13</v>
      </c>
      <c r="D11" s="3" t="s">
        <v>152</v>
      </c>
      <c r="E11" s="6"/>
      <c r="F11" s="3"/>
    </row>
    <row r="12" spans="1:9" x14ac:dyDescent="0.3">
      <c r="A12" s="4" t="s">
        <v>32</v>
      </c>
      <c r="B12" s="4" t="s">
        <v>9</v>
      </c>
      <c r="C12" s="5">
        <v>3113000</v>
      </c>
      <c r="D12" s="16" t="s">
        <v>137</v>
      </c>
      <c r="E12" s="6">
        <v>42627</v>
      </c>
      <c r="F12" s="3"/>
      <c r="G12" s="4" t="s">
        <v>11</v>
      </c>
    </row>
    <row r="13" spans="1:9" x14ac:dyDescent="0.3">
      <c r="A13" s="4" t="s">
        <v>33</v>
      </c>
      <c r="B13" s="4" t="s">
        <v>13</v>
      </c>
      <c r="C13" s="5">
        <v>945150</v>
      </c>
      <c r="D13" s="3" t="s">
        <v>323</v>
      </c>
      <c r="E13" s="6"/>
      <c r="F13" s="3"/>
      <c r="G13" s="4" t="s">
        <v>15</v>
      </c>
      <c r="H13" s="4" t="s">
        <v>16</v>
      </c>
    </row>
    <row r="14" spans="1:9" x14ac:dyDescent="0.3">
      <c r="A14" s="4" t="s">
        <v>35</v>
      </c>
      <c r="B14" s="4" t="s">
        <v>13</v>
      </c>
      <c r="C14" s="5">
        <v>298700</v>
      </c>
      <c r="D14" s="3" t="s">
        <v>36</v>
      </c>
      <c r="E14" s="6">
        <v>130715</v>
      </c>
      <c r="F14" s="4" t="s">
        <v>354</v>
      </c>
      <c r="G14" s="4" t="s">
        <v>15</v>
      </c>
      <c r="H14" s="4" t="s">
        <v>16</v>
      </c>
    </row>
    <row r="15" spans="1:9" x14ac:dyDescent="0.3">
      <c r="A15" s="4" t="s">
        <v>37</v>
      </c>
      <c r="B15" s="4" t="s">
        <v>13</v>
      </c>
      <c r="C15" s="5">
        <v>1477070</v>
      </c>
      <c r="D15" s="3" t="s">
        <v>38</v>
      </c>
      <c r="E15" s="6"/>
      <c r="G15" s="4" t="s">
        <v>15</v>
      </c>
      <c r="H15" s="4" t="s">
        <v>16</v>
      </c>
    </row>
    <row r="16" spans="1:9" x14ac:dyDescent="0.3">
      <c r="A16" s="4" t="s">
        <v>39</v>
      </c>
      <c r="D16" s="3"/>
      <c r="E16" s="6"/>
      <c r="F16" s="3"/>
    </row>
    <row r="17" spans="1:8" x14ac:dyDescent="0.3">
      <c r="A17" s="4" t="s">
        <v>40</v>
      </c>
      <c r="B17" s="4" t="s">
        <v>13</v>
      </c>
      <c r="C17" s="5">
        <v>2319400</v>
      </c>
      <c r="D17" s="3" t="s">
        <v>41</v>
      </c>
      <c r="E17" s="6">
        <v>24596034</v>
      </c>
      <c r="F17" s="3"/>
      <c r="G17" s="4" t="s">
        <v>15</v>
      </c>
      <c r="H17" s="4" t="s">
        <v>16</v>
      </c>
    </row>
    <row r="18" spans="1:8" x14ac:dyDescent="0.3">
      <c r="A18" s="4" t="s">
        <v>42</v>
      </c>
      <c r="B18" s="4" t="s">
        <v>13</v>
      </c>
      <c r="C18" s="5">
        <v>802500</v>
      </c>
      <c r="D18" s="3" t="s">
        <v>128</v>
      </c>
      <c r="E18" s="6"/>
      <c r="F18" s="3"/>
      <c r="G18" s="4" t="s">
        <v>15</v>
      </c>
      <c r="H18" s="4" t="s">
        <v>16</v>
      </c>
    </row>
    <row r="19" spans="1:8" x14ac:dyDescent="0.3">
      <c r="A19" s="4" t="s">
        <v>43</v>
      </c>
      <c r="D19" s="3"/>
      <c r="E19" s="6"/>
      <c r="F19" s="3"/>
    </row>
    <row r="20" spans="1:8" x14ac:dyDescent="0.3">
      <c r="A20" s="4" t="s">
        <v>44</v>
      </c>
      <c r="B20" s="4" t="s">
        <v>25</v>
      </c>
      <c r="C20" s="5">
        <v>4061100</v>
      </c>
      <c r="D20" s="3" t="s">
        <v>45</v>
      </c>
      <c r="E20" s="15" t="s">
        <v>347</v>
      </c>
      <c r="F20" s="16" t="s">
        <v>348</v>
      </c>
      <c r="G20" s="4" t="s">
        <v>15</v>
      </c>
      <c r="H20" s="4" t="s">
        <v>27</v>
      </c>
    </row>
    <row r="21" spans="1:8" x14ac:dyDescent="0.3">
      <c r="A21" s="4" t="s">
        <v>46</v>
      </c>
      <c r="B21" s="4" t="s">
        <v>25</v>
      </c>
      <c r="C21" s="5">
        <v>700120</v>
      </c>
      <c r="D21" s="3" t="s">
        <v>320</v>
      </c>
      <c r="E21" s="6" t="s">
        <v>345</v>
      </c>
      <c r="F21" s="3" t="s">
        <v>346</v>
      </c>
      <c r="G21" s="4" t="s">
        <v>11</v>
      </c>
    </row>
    <row r="22" spans="1:8" x14ac:dyDescent="0.3">
      <c r="A22" s="4" t="s">
        <v>49</v>
      </c>
      <c r="B22" s="4" t="s">
        <v>13</v>
      </c>
      <c r="C22" s="5">
        <v>1645960</v>
      </c>
      <c r="D22" s="3" t="s">
        <v>50</v>
      </c>
      <c r="E22" s="6"/>
      <c r="F22" s="3"/>
      <c r="G22" s="4" t="s">
        <v>15</v>
      </c>
      <c r="H22" s="4" t="s">
        <v>16</v>
      </c>
    </row>
    <row r="23" spans="1:8" x14ac:dyDescent="0.3">
      <c r="A23" s="4" t="s">
        <v>51</v>
      </c>
      <c r="B23" s="4" t="s">
        <v>13</v>
      </c>
      <c r="C23" s="5">
        <v>684970</v>
      </c>
      <c r="D23" s="5" t="s">
        <v>215</v>
      </c>
      <c r="E23" s="6"/>
      <c r="F23" s="3"/>
      <c r="G23" s="4" t="s">
        <v>15</v>
      </c>
    </row>
    <row r="24" spans="1:8" x14ac:dyDescent="0.3">
      <c r="A24" s="4" t="s">
        <v>52</v>
      </c>
      <c r="B24" s="4" t="s">
        <v>13</v>
      </c>
      <c r="C24" s="5">
        <v>1207700</v>
      </c>
      <c r="D24" s="3" t="s">
        <v>294</v>
      </c>
      <c r="E24" s="6">
        <v>25461334</v>
      </c>
      <c r="F24" s="3"/>
      <c r="G24" s="4" t="s">
        <v>15</v>
      </c>
      <c r="H24" s="4" t="s">
        <v>16</v>
      </c>
    </row>
    <row r="25" spans="1:8" x14ac:dyDescent="0.3">
      <c r="A25" s="4" t="s">
        <v>53</v>
      </c>
      <c r="B25" s="4" t="s">
        <v>9</v>
      </c>
      <c r="C25" s="5">
        <v>4856400</v>
      </c>
      <c r="D25" s="3" t="s">
        <v>54</v>
      </c>
      <c r="E25" s="6">
        <v>718295</v>
      </c>
      <c r="F25" s="3"/>
      <c r="G25" s="4" t="s">
        <v>11</v>
      </c>
    </row>
    <row r="26" spans="1:8" x14ac:dyDescent="0.3">
      <c r="A26" s="4" t="s">
        <v>55</v>
      </c>
      <c r="B26" s="4" t="s">
        <v>13</v>
      </c>
      <c r="C26" s="5">
        <v>1082800</v>
      </c>
      <c r="D26" s="3" t="s">
        <v>56</v>
      </c>
      <c r="E26" s="6">
        <v>119092</v>
      </c>
      <c r="F26" s="3" t="s">
        <v>349</v>
      </c>
      <c r="G26" s="4" t="s">
        <v>15</v>
      </c>
      <c r="H26" s="4" t="s">
        <v>16</v>
      </c>
    </row>
    <row r="27" spans="1:8" x14ac:dyDescent="0.3">
      <c r="A27" s="4" t="s">
        <v>57</v>
      </c>
      <c r="B27" s="4" t="s">
        <v>13</v>
      </c>
      <c r="C27" s="5">
        <v>502035</v>
      </c>
      <c r="D27" s="3" t="s">
        <v>58</v>
      </c>
      <c r="E27" s="6">
        <v>124491</v>
      </c>
      <c r="F27" s="3" t="s">
        <v>361</v>
      </c>
      <c r="G27" s="4" t="s">
        <v>15</v>
      </c>
      <c r="H27" s="4" t="s">
        <v>16</v>
      </c>
    </row>
    <row r="28" spans="1:8" x14ac:dyDescent="0.3">
      <c r="A28" s="4" t="s">
        <v>59</v>
      </c>
      <c r="B28" s="4" t="s">
        <v>25</v>
      </c>
      <c r="D28" s="3" t="s">
        <v>299</v>
      </c>
      <c r="E28" s="6"/>
      <c r="F28" s="3"/>
      <c r="G28" s="7"/>
      <c r="H28" s="5"/>
    </row>
    <row r="29" spans="1:8" x14ac:dyDescent="0.3">
      <c r="A29" s="4" t="s">
        <v>60</v>
      </c>
      <c r="D29" s="3"/>
      <c r="E29" s="6"/>
      <c r="F29" s="3"/>
    </row>
    <row r="30" spans="1:8" x14ac:dyDescent="0.3">
      <c r="A30" s="4" t="s">
        <v>61</v>
      </c>
      <c r="B30" s="4" t="s">
        <v>13</v>
      </c>
      <c r="C30" s="5">
        <v>1039050</v>
      </c>
      <c r="D30" s="3" t="s">
        <v>243</v>
      </c>
      <c r="E30" s="6"/>
      <c r="F30" s="3"/>
      <c r="G30" s="4" t="s">
        <v>15</v>
      </c>
      <c r="H30" s="4" t="s">
        <v>16</v>
      </c>
    </row>
    <row r="31" spans="1:8" x14ac:dyDescent="0.3">
      <c r="A31" s="4" t="s">
        <v>63</v>
      </c>
      <c r="D31" s="3"/>
      <c r="E31" s="6"/>
      <c r="F31" s="3"/>
    </row>
    <row r="32" spans="1:8" x14ac:dyDescent="0.3">
      <c r="A32" s="4" t="s">
        <v>64</v>
      </c>
      <c r="B32" s="4" t="s">
        <v>13</v>
      </c>
      <c r="C32" s="5">
        <v>617350</v>
      </c>
      <c r="D32" s="3" t="s">
        <v>168</v>
      </c>
      <c r="E32" s="6">
        <v>23480218</v>
      </c>
      <c r="F32" s="3"/>
      <c r="G32" s="4" t="s">
        <v>15</v>
      </c>
      <c r="H32" s="4" t="s">
        <v>16</v>
      </c>
    </row>
    <row r="33" spans="1:8" x14ac:dyDescent="0.3">
      <c r="A33" s="4" t="s">
        <v>65</v>
      </c>
      <c r="B33" s="4" t="s">
        <v>13</v>
      </c>
      <c r="D33" s="7" t="s">
        <v>66</v>
      </c>
      <c r="E33" s="6"/>
      <c r="F33" s="3"/>
    </row>
    <row r="34" spans="1:8" x14ac:dyDescent="0.3">
      <c r="A34" s="4" t="s">
        <v>67</v>
      </c>
      <c r="B34" s="4" t="s">
        <v>13</v>
      </c>
      <c r="C34" s="5">
        <v>825000</v>
      </c>
      <c r="D34" s="3" t="s">
        <v>68</v>
      </c>
      <c r="E34" s="6">
        <v>23480213</v>
      </c>
      <c r="F34" s="3"/>
      <c r="G34" s="4" t="s">
        <v>15</v>
      </c>
      <c r="H34" s="4" t="s">
        <v>16</v>
      </c>
    </row>
    <row r="35" spans="1:8" x14ac:dyDescent="0.3">
      <c r="A35" s="4" t="s">
        <v>69</v>
      </c>
      <c r="B35" s="4" t="s">
        <v>25</v>
      </c>
      <c r="C35" s="5">
        <v>1364200</v>
      </c>
      <c r="D35" s="3" t="s">
        <v>70</v>
      </c>
      <c r="E35" s="6" t="s">
        <v>352</v>
      </c>
      <c r="F35" s="3"/>
      <c r="G35" s="4" t="s">
        <v>15</v>
      </c>
      <c r="H35" s="4" t="s">
        <v>27</v>
      </c>
    </row>
    <row r="36" spans="1:8" x14ac:dyDescent="0.3">
      <c r="A36" s="4" t="s">
        <v>71</v>
      </c>
      <c r="B36" s="4" t="s">
        <v>25</v>
      </c>
      <c r="C36" s="5">
        <v>1915500</v>
      </c>
      <c r="D36" s="7" t="s">
        <v>72</v>
      </c>
      <c r="E36" s="6"/>
      <c r="F36" s="3"/>
      <c r="G36" s="4" t="s">
        <v>15</v>
      </c>
      <c r="H36" s="4" t="s">
        <v>27</v>
      </c>
    </row>
    <row r="37" spans="1:8" x14ac:dyDescent="0.3">
      <c r="A37" s="4" t="s">
        <v>73</v>
      </c>
      <c r="B37" s="4" t="s">
        <v>13</v>
      </c>
      <c r="C37" s="5">
        <v>3597200</v>
      </c>
      <c r="D37" s="3" t="s">
        <v>74</v>
      </c>
      <c r="E37" s="6">
        <v>139121</v>
      </c>
      <c r="F37" s="3" t="s">
        <v>360</v>
      </c>
      <c r="G37" s="4" t="s">
        <v>15</v>
      </c>
      <c r="H37" s="4" t="s">
        <v>16</v>
      </c>
    </row>
    <row r="38" spans="1:8" x14ac:dyDescent="0.3">
      <c r="A38" s="4" t="s">
        <v>75</v>
      </c>
      <c r="D38" s="3"/>
      <c r="E38" s="6"/>
      <c r="F38" s="3"/>
    </row>
    <row r="39" spans="1:8" x14ac:dyDescent="0.3">
      <c r="A39" s="4" t="s">
        <v>76</v>
      </c>
      <c r="B39" s="4" t="s">
        <v>25</v>
      </c>
      <c r="C39" s="5">
        <v>925150</v>
      </c>
      <c r="D39" s="3" t="s">
        <v>77</v>
      </c>
      <c r="E39" s="6">
        <v>5966</v>
      </c>
      <c r="F39" s="3"/>
      <c r="G39" s="4" t="s">
        <v>15</v>
      </c>
      <c r="H39" s="4" t="s">
        <v>27</v>
      </c>
    </row>
    <row r="40" spans="1:8" x14ac:dyDescent="0.3">
      <c r="A40" s="4" t="s">
        <v>78</v>
      </c>
      <c r="D40" s="3"/>
      <c r="E40" s="6"/>
      <c r="F40" s="3"/>
    </row>
    <row r="41" spans="1:8" x14ac:dyDescent="0.3">
      <c r="A41" s="4" t="s">
        <v>79</v>
      </c>
      <c r="B41" s="4" t="s">
        <v>9</v>
      </c>
      <c r="D41" s="16" t="s">
        <v>201</v>
      </c>
      <c r="E41" s="6"/>
      <c r="F41" s="3"/>
    </row>
    <row r="42" spans="1:8" x14ac:dyDescent="0.3">
      <c r="A42" s="4" t="s">
        <v>80</v>
      </c>
      <c r="B42" s="4" t="s">
        <v>13</v>
      </c>
      <c r="D42" s="7" t="s">
        <v>115</v>
      </c>
      <c r="E42" s="6"/>
      <c r="F42" s="3"/>
    </row>
    <row r="43" spans="1:8" x14ac:dyDescent="0.3">
      <c r="A43" s="4" t="s">
        <v>81</v>
      </c>
      <c r="B43" s="4" t="s">
        <v>9</v>
      </c>
      <c r="C43" s="5">
        <v>516400</v>
      </c>
      <c r="D43" s="3" t="s">
        <v>82</v>
      </c>
      <c r="E43" s="6">
        <v>21228195</v>
      </c>
      <c r="F43" s="3"/>
      <c r="G43" s="4" t="s">
        <v>11</v>
      </c>
    </row>
    <row r="44" spans="1:8" x14ac:dyDescent="0.3">
      <c r="A44" s="4" t="s">
        <v>83</v>
      </c>
      <c r="B44" s="4" t="s">
        <v>13</v>
      </c>
      <c r="D44" s="16" t="s">
        <v>313</v>
      </c>
      <c r="E44" s="6">
        <v>151336</v>
      </c>
      <c r="F44" s="16"/>
    </row>
    <row r="45" spans="1:8" x14ac:dyDescent="0.3">
      <c r="A45" s="4" t="s">
        <v>85</v>
      </c>
      <c r="B45" s="4" t="s">
        <v>13</v>
      </c>
      <c r="C45" s="5">
        <v>3729400</v>
      </c>
      <c r="D45" s="3" t="s">
        <v>86</v>
      </c>
      <c r="E45" s="6">
        <v>134424</v>
      </c>
      <c r="F45" s="3" t="s">
        <v>363</v>
      </c>
      <c r="G45" s="4" t="s">
        <v>15</v>
      </c>
      <c r="H45" s="4" t="s">
        <v>16</v>
      </c>
    </row>
    <row r="46" spans="1:8" x14ac:dyDescent="0.3">
      <c r="A46" s="4" t="s">
        <v>87</v>
      </c>
      <c r="B46" s="4" t="s">
        <v>25</v>
      </c>
      <c r="C46" s="5">
        <v>2537300</v>
      </c>
      <c r="D46" s="3" t="s">
        <v>88</v>
      </c>
      <c r="E46" s="6" t="s">
        <v>364</v>
      </c>
      <c r="F46" s="3" t="s">
        <v>365</v>
      </c>
      <c r="G46" s="4" t="s">
        <v>15</v>
      </c>
      <c r="H46" s="4" t="s">
        <v>27</v>
      </c>
    </row>
    <row r="47" spans="1:8" x14ac:dyDescent="0.3">
      <c r="A47" s="4" t="s">
        <v>89</v>
      </c>
      <c r="B47" s="4" t="s">
        <v>13</v>
      </c>
      <c r="C47" s="5">
        <v>2997950</v>
      </c>
      <c r="D47" s="3" t="s">
        <v>90</v>
      </c>
      <c r="E47" s="6"/>
      <c r="F47" s="3"/>
      <c r="G47" s="4" t="s">
        <v>15</v>
      </c>
      <c r="H47" s="4" t="s">
        <v>16</v>
      </c>
    </row>
    <row r="48" spans="1:8" x14ac:dyDescent="0.3">
      <c r="A48" s="4" t="s">
        <v>91</v>
      </c>
      <c r="B48" s="4" t="s">
        <v>25</v>
      </c>
      <c r="C48" s="5">
        <v>650000</v>
      </c>
      <c r="D48" s="7" t="s">
        <v>92</v>
      </c>
      <c r="E48" s="6">
        <v>266178</v>
      </c>
      <c r="F48" s="3"/>
      <c r="G48" s="4" t="s">
        <v>15</v>
      </c>
      <c r="H48" s="4" t="s">
        <v>27</v>
      </c>
    </row>
    <row r="49" spans="1:8" x14ac:dyDescent="0.3">
      <c r="A49" s="4" t="s">
        <v>93</v>
      </c>
      <c r="B49" s="4" t="s">
        <v>13</v>
      </c>
      <c r="C49" s="5">
        <v>1652350</v>
      </c>
      <c r="D49" s="3" t="s">
        <v>259</v>
      </c>
      <c r="E49" s="6">
        <v>141590</v>
      </c>
      <c r="F49" s="3" t="s">
        <v>362</v>
      </c>
      <c r="G49" s="4" t="s">
        <v>15</v>
      </c>
      <c r="H49" s="4" t="s">
        <v>16</v>
      </c>
    </row>
    <row r="50" spans="1:8" x14ac:dyDescent="0.3">
      <c r="A50" s="4" t="s">
        <v>95</v>
      </c>
      <c r="B50" s="4" t="s">
        <v>13</v>
      </c>
      <c r="D50" s="7" t="s">
        <v>332</v>
      </c>
      <c r="E50" s="6"/>
      <c r="F50" s="3"/>
    </row>
    <row r="51" spans="1:8" x14ac:dyDescent="0.3">
      <c r="A51" s="4" t="s">
        <v>96</v>
      </c>
      <c r="B51" s="4" t="s">
        <v>13</v>
      </c>
      <c r="C51" s="5">
        <v>452400</v>
      </c>
      <c r="D51" s="7" t="s">
        <v>307</v>
      </c>
      <c r="E51" s="6">
        <v>125121</v>
      </c>
      <c r="F51" s="19" t="s">
        <v>356</v>
      </c>
      <c r="G51" s="4" t="s">
        <v>15</v>
      </c>
      <c r="H51" s="4" t="s">
        <v>16</v>
      </c>
    </row>
    <row r="52" spans="1:8" x14ac:dyDescent="0.3">
      <c r="A52" s="4" t="s">
        <v>98</v>
      </c>
      <c r="B52" s="4" t="s">
        <v>9</v>
      </c>
      <c r="C52" s="5">
        <v>1572050</v>
      </c>
      <c r="D52" s="3" t="s">
        <v>99</v>
      </c>
      <c r="E52" s="6">
        <v>2126488</v>
      </c>
      <c r="F52" s="3"/>
      <c r="G52" s="4" t="s">
        <v>11</v>
      </c>
    </row>
    <row r="53" spans="1:8" x14ac:dyDescent="0.3">
      <c r="A53" s="4" t="s">
        <v>100</v>
      </c>
      <c r="B53" s="4" t="s">
        <v>9</v>
      </c>
      <c r="C53" s="5">
        <v>1510800</v>
      </c>
      <c r="D53" s="8" t="s">
        <v>326</v>
      </c>
      <c r="E53" s="9">
        <v>7671306</v>
      </c>
      <c r="F53" s="7"/>
      <c r="G53" s="7" t="s">
        <v>11</v>
      </c>
    </row>
    <row r="54" spans="1:8" x14ac:dyDescent="0.3">
      <c r="A54" s="4" t="s">
        <v>102</v>
      </c>
      <c r="B54" s="4" t="s">
        <v>9</v>
      </c>
      <c r="C54" s="5">
        <v>890300</v>
      </c>
      <c r="D54" s="3" t="s">
        <v>103</v>
      </c>
      <c r="E54" s="6">
        <v>878558</v>
      </c>
      <c r="F54" s="3"/>
      <c r="G54" s="4" t="s">
        <v>11</v>
      </c>
    </row>
    <row r="55" spans="1:8" x14ac:dyDescent="0.3">
      <c r="A55" s="4" t="s">
        <v>104</v>
      </c>
      <c r="B55" s="4" t="s">
        <v>9</v>
      </c>
      <c r="C55" s="5">
        <v>3025450</v>
      </c>
      <c r="D55" s="3" t="s">
        <v>105</v>
      </c>
      <c r="E55" s="6">
        <v>97108</v>
      </c>
      <c r="F55" s="3"/>
      <c r="G55" s="4" t="s">
        <v>11</v>
      </c>
    </row>
    <row r="56" spans="1:8" x14ac:dyDescent="0.3">
      <c r="A56" s="4" t="s">
        <v>106</v>
      </c>
      <c r="B56" s="4" t="s">
        <v>13</v>
      </c>
      <c r="C56" s="5">
        <v>2971200</v>
      </c>
      <c r="D56" s="3" t="s">
        <v>107</v>
      </c>
      <c r="E56" s="6">
        <v>130236</v>
      </c>
      <c r="F56" s="3"/>
      <c r="G56" s="4" t="s">
        <v>15</v>
      </c>
      <c r="H56" s="4" t="s">
        <v>16</v>
      </c>
    </row>
    <row r="57" spans="1:8" x14ac:dyDescent="0.3">
      <c r="A57" s="4" t="s">
        <v>108</v>
      </c>
      <c r="B57" s="4" t="s">
        <v>13</v>
      </c>
      <c r="C57" s="5">
        <v>4724820</v>
      </c>
      <c r="D57" s="7" t="s">
        <v>135</v>
      </c>
      <c r="E57" s="6">
        <v>22889010</v>
      </c>
      <c r="F57" s="3"/>
      <c r="G57" s="4" t="s">
        <v>15</v>
      </c>
      <c r="H57" s="4" t="s">
        <v>16</v>
      </c>
    </row>
    <row r="58" spans="1:8" x14ac:dyDescent="0.3">
      <c r="A58" s="4" t="s">
        <v>109</v>
      </c>
      <c r="B58" s="4" t="s">
        <v>13</v>
      </c>
      <c r="C58" s="5">
        <v>1259500</v>
      </c>
      <c r="D58" s="3" t="s">
        <v>110</v>
      </c>
      <c r="E58" s="6"/>
      <c r="F58" s="3"/>
      <c r="G58" s="4" t="s">
        <v>15</v>
      </c>
      <c r="H58" s="4" t="s">
        <v>16</v>
      </c>
    </row>
    <row r="59" spans="1:8" x14ac:dyDescent="0.3">
      <c r="A59" s="4" t="s">
        <v>111</v>
      </c>
      <c r="B59" s="4" t="s">
        <v>25</v>
      </c>
      <c r="C59" s="5">
        <v>1604500</v>
      </c>
      <c r="D59" s="16" t="s">
        <v>82</v>
      </c>
      <c r="E59" s="15" t="s">
        <v>358</v>
      </c>
      <c r="F59" s="16" t="s">
        <v>359</v>
      </c>
      <c r="G59" s="4" t="s">
        <v>15</v>
      </c>
      <c r="H59" s="4" t="s">
        <v>27</v>
      </c>
    </row>
    <row r="60" spans="1:8" x14ac:dyDescent="0.3">
      <c r="A60" s="4" t="s">
        <v>113</v>
      </c>
      <c r="B60" s="4" t="s">
        <v>25</v>
      </c>
      <c r="C60" s="5">
        <v>6260620</v>
      </c>
      <c r="D60" s="3" t="s">
        <v>92</v>
      </c>
      <c r="E60" s="15" t="s">
        <v>353</v>
      </c>
      <c r="F60" s="16"/>
      <c r="G60" s="4" t="s">
        <v>15</v>
      </c>
      <c r="H60" s="4" t="s">
        <v>27</v>
      </c>
    </row>
    <row r="61" spans="1:8" s="10" customFormat="1" ht="15" thickBot="1" x14ac:dyDescent="0.35">
      <c r="A61" s="10" t="s">
        <v>114</v>
      </c>
      <c r="B61" s="4"/>
      <c r="C61" s="11">
        <f>SUM(C2:C60)</f>
        <v>83149315</v>
      </c>
      <c r="D61" s="4"/>
    </row>
    <row r="62" spans="1:8" ht="15" thickTop="1" x14ac:dyDescent="0.3"/>
    <row r="67" spans="4:4" x14ac:dyDescent="0.3">
      <c r="D67" s="12"/>
    </row>
  </sheetData>
  <conditionalFormatting sqref="F14:H15 I20:I27 G20:H28">
    <cfRule type="containsText" dxfId="473" priority="17" operator="containsText" text="No">
      <formula>NOT(ISERROR(SEARCH("No",F14)))</formula>
    </cfRule>
    <cfRule type="containsText" dxfId="472" priority="18" operator="containsText" text="Yes">
      <formula>NOT(ISERROR(SEARCH("Yes",F14)))</formula>
    </cfRule>
  </conditionalFormatting>
  <conditionalFormatting sqref="G1">
    <cfRule type="containsText" dxfId="471" priority="39" operator="containsText" text="No">
      <formula>NOT(ISERROR(SEARCH("No",G1)))</formula>
    </cfRule>
    <cfRule type="containsText" dxfId="470" priority="40" operator="containsText" text="Yes">
      <formula>NOT(ISERROR(SEARCH("Yes",G1)))</formula>
    </cfRule>
  </conditionalFormatting>
  <conditionalFormatting sqref="G16 G19">
    <cfRule type="containsText" dxfId="469" priority="29" operator="containsText" text="No">
      <formula>NOT(ISERROR(SEARCH("No",G16)))</formula>
    </cfRule>
    <cfRule type="containsText" dxfId="468" priority="30" operator="containsText" text="Yes">
      <formula>NOT(ISERROR(SEARCH("Yes",G16)))</formula>
    </cfRule>
  </conditionalFormatting>
  <conditionalFormatting sqref="G29">
    <cfRule type="containsText" dxfId="467" priority="27" operator="containsText" text="No">
      <formula>NOT(ISERROR(SEARCH("No",G29)))</formula>
    </cfRule>
    <cfRule type="containsText" dxfId="466" priority="28" operator="containsText" text="Yes">
      <formula>NOT(ISERROR(SEARCH("Yes",G29)))</formula>
    </cfRule>
  </conditionalFormatting>
  <conditionalFormatting sqref="G40">
    <cfRule type="containsText" dxfId="465" priority="43" operator="containsText" text="No">
      <formula>NOT(ISERROR(SEARCH("No",G40)))</formula>
    </cfRule>
    <cfRule type="containsText" dxfId="464" priority="44" operator="containsText" text="Yes">
      <formula>NOT(ISERROR(SEARCH("Yes",G40)))</formula>
    </cfRule>
  </conditionalFormatting>
  <conditionalFormatting sqref="G43">
    <cfRule type="containsText" dxfId="463" priority="37" operator="containsText" text="No">
      <formula>NOT(ISERROR(SEARCH("No",G43)))</formula>
    </cfRule>
    <cfRule type="containsText" dxfId="462" priority="38" operator="containsText" text="Yes">
      <formula>NOT(ISERROR(SEARCH("Yes",G43)))</formula>
    </cfRule>
  </conditionalFormatting>
  <conditionalFormatting sqref="G52">
    <cfRule type="containsText" dxfId="461" priority="35" operator="containsText" text="No">
      <formula>NOT(ISERROR(SEARCH("No",G52)))</formula>
    </cfRule>
    <cfRule type="containsText" dxfId="460" priority="36" operator="containsText" text="Yes">
      <formula>NOT(ISERROR(SEARCH("Yes",G52)))</formula>
    </cfRule>
  </conditionalFormatting>
  <conditionalFormatting sqref="G61:G1048576">
    <cfRule type="containsText" dxfId="459" priority="41" operator="containsText" text="No">
      <formula>NOT(ISERROR(SEARCH("No",G61)))</formula>
    </cfRule>
    <cfRule type="containsText" dxfId="458" priority="42" operator="containsText" text="Yes">
      <formula>NOT(ISERROR(SEARCH("Yes",G61)))</formula>
    </cfRule>
  </conditionalFormatting>
  <conditionalFormatting sqref="G2:H7">
    <cfRule type="containsText" dxfId="457" priority="3" operator="containsText" text="No">
      <formula>NOT(ISERROR(SEARCH("No",G2)))</formula>
    </cfRule>
    <cfRule type="containsText" dxfId="456" priority="4" operator="containsText" text="Yes">
      <formula>NOT(ISERROR(SEARCH("Yes",G2)))</formula>
    </cfRule>
  </conditionalFormatting>
  <conditionalFormatting sqref="G13:H13">
    <cfRule type="containsText" dxfId="455" priority="13" operator="containsText" text="No">
      <formula>NOT(ISERROR(SEARCH("No",G13)))</formula>
    </cfRule>
    <cfRule type="containsText" dxfId="454" priority="14" operator="containsText" text="Yes">
      <formula>NOT(ISERROR(SEARCH("Yes",G13)))</formula>
    </cfRule>
  </conditionalFormatting>
  <conditionalFormatting sqref="G30:H39">
    <cfRule type="containsText" dxfId="453" priority="15" operator="containsText" text="No">
      <formula>NOT(ISERROR(SEARCH("No",G30)))</formula>
    </cfRule>
    <cfRule type="containsText" dxfId="452" priority="16" operator="containsText" text="Yes">
      <formula>NOT(ISERROR(SEARCH("Yes",G30)))</formula>
    </cfRule>
  </conditionalFormatting>
  <conditionalFormatting sqref="G41:H42">
    <cfRule type="containsText" dxfId="451" priority="23" operator="containsText" text="No">
      <formula>NOT(ISERROR(SEARCH("No",G41)))</formula>
    </cfRule>
    <cfRule type="containsText" dxfId="450" priority="24" operator="containsText" text="Yes">
      <formula>NOT(ISERROR(SEARCH("Yes",G41)))</formula>
    </cfRule>
  </conditionalFormatting>
  <conditionalFormatting sqref="G44:H51">
    <cfRule type="containsText" dxfId="449" priority="7" operator="containsText" text="No">
      <formula>NOT(ISERROR(SEARCH("No",G44)))</formula>
    </cfRule>
    <cfRule type="containsText" dxfId="448" priority="8" operator="containsText" text="Yes">
      <formula>NOT(ISERROR(SEARCH("Yes",G44)))</formula>
    </cfRule>
  </conditionalFormatting>
  <conditionalFormatting sqref="G53:H60">
    <cfRule type="containsText" dxfId="447" priority="9" operator="containsText" text="No">
      <formula>NOT(ISERROR(SEARCH("No",G53)))</formula>
    </cfRule>
    <cfRule type="containsText" dxfId="446" priority="10" operator="containsText" text="Yes">
      <formula>NOT(ISERROR(SEARCH("Yes",G53)))</formula>
    </cfRule>
  </conditionalFormatting>
  <conditionalFormatting sqref="G8:I12">
    <cfRule type="containsText" dxfId="445" priority="19" operator="containsText" text="No">
      <formula>NOT(ISERROR(SEARCH("No",G8)))</formula>
    </cfRule>
    <cfRule type="containsText" dxfId="444" priority="20" operator="containsText" text="Yes">
      <formula>NOT(ISERROR(SEARCH("Yes",G8)))</formula>
    </cfRule>
  </conditionalFormatting>
  <conditionalFormatting sqref="G17:I18">
    <cfRule type="containsText" dxfId="443" priority="1" operator="containsText" text="No">
      <formula>NOT(ISERROR(SEARCH("No",G17)))</formula>
    </cfRule>
    <cfRule type="containsText" dxfId="442" priority="2" operator="containsText" text="Yes">
      <formula>NOT(ISERROR(SEARCH("Yes",G17)))</formula>
    </cfRule>
  </conditionalFormatting>
  <conditionalFormatting sqref="H28">
    <cfRule type="containsText" dxfId="441" priority="31" operator="containsText" text="No">
      <formula>NOT(ISERROR(SEARCH("No",H28)))</formula>
    </cfRule>
    <cfRule type="containsText" dxfId="440" priority="32" operator="containsText" text="Yes">
      <formula>NOT(ISERROR(SEARCH("Yes",H28)))</formula>
    </cfRule>
  </conditionalFormatting>
  <conditionalFormatting sqref="I13:I15">
    <cfRule type="containsText" dxfId="439" priority="21" operator="containsText" text="No">
      <formula>NOT(ISERROR(SEARCH("No",I13)))</formula>
    </cfRule>
    <cfRule type="containsText" dxfId="438" priority="22" operator="containsText" text="Yes">
      <formula>NOT(ISERROR(SEARCH("Yes",I13)))</formula>
    </cfRule>
  </conditionalFormatting>
  <conditionalFormatting sqref="I20">
    <cfRule type="containsText" dxfId="437" priority="33" operator="containsText" text="No">
      <formula>NOT(ISERROR(SEARCH("No",I20)))</formula>
    </cfRule>
    <cfRule type="containsText" dxfId="436" priority="34" operator="containsText" text="Yes">
      <formula>NOT(ISERROR(SEARCH("Yes",I20)))</formula>
    </cfRule>
  </conditionalFormatting>
  <conditionalFormatting sqref="I30">
    <cfRule type="containsText" dxfId="435" priority="25" operator="containsText" text="No">
      <formula>NOT(ISERROR(SEARCH("No",I30)))</formula>
    </cfRule>
    <cfRule type="containsText" dxfId="434" priority="26" operator="containsText" text="Yes">
      <formula>NOT(ISERROR(SEARCH("Yes",I30)))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6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1" sqref="C11"/>
    </sheetView>
  </sheetViews>
  <sheetFormatPr defaultColWidth="10" defaultRowHeight="14.4" x14ac:dyDescent="0.3"/>
  <cols>
    <col min="1" max="1" width="17.5546875" style="4" bestFit="1" customWidth="1"/>
    <col min="2" max="2" width="12.33203125" style="4" bestFit="1" customWidth="1"/>
    <col min="3" max="3" width="18.5546875" style="5" bestFit="1" customWidth="1"/>
    <col min="4" max="4" width="23.88671875" style="4" bestFit="1" customWidth="1"/>
    <col min="5" max="5" width="16.6640625" style="4" bestFit="1" customWidth="1"/>
    <col min="6" max="6" width="14.6640625" style="4" bestFit="1" customWidth="1"/>
    <col min="7" max="7" width="14.6640625" style="4" customWidth="1"/>
    <col min="8" max="8" width="12.109375" style="4" bestFit="1" customWidth="1"/>
    <col min="9" max="9" width="4.33203125" style="4" customWidth="1"/>
    <col min="10" max="16384" width="10" style="4"/>
  </cols>
  <sheetData>
    <row r="1" spans="1:9" s="1" customForma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s="1" customFormat="1" x14ac:dyDescent="0.3">
      <c r="A2" s="3" t="s">
        <v>8</v>
      </c>
      <c r="B2" s="4" t="s">
        <v>9</v>
      </c>
      <c r="C2" s="5">
        <v>2473800</v>
      </c>
      <c r="D2" s="3" t="s">
        <v>10</v>
      </c>
      <c r="E2" s="6"/>
      <c r="F2" s="3"/>
      <c r="G2" s="4" t="s">
        <v>11</v>
      </c>
      <c r="H2" s="4"/>
      <c r="I2" s="16"/>
    </row>
    <row r="3" spans="1:9" x14ac:dyDescent="0.3">
      <c r="A3" s="4" t="s">
        <v>12</v>
      </c>
      <c r="B3" s="4" t="s">
        <v>13</v>
      </c>
      <c r="C3" s="5">
        <v>741550</v>
      </c>
      <c r="D3" s="3" t="s">
        <v>14</v>
      </c>
      <c r="E3" s="6"/>
      <c r="F3" s="16"/>
      <c r="G3" s="4" t="s">
        <v>15</v>
      </c>
      <c r="H3" s="4" t="s">
        <v>16</v>
      </c>
    </row>
    <row r="4" spans="1:9" x14ac:dyDescent="0.3">
      <c r="A4" s="4" t="s">
        <v>17</v>
      </c>
      <c r="D4" s="16"/>
      <c r="E4" s="6"/>
      <c r="F4" s="3"/>
    </row>
    <row r="5" spans="1:9" x14ac:dyDescent="0.3">
      <c r="A5" s="4" t="s">
        <v>18</v>
      </c>
      <c r="B5" s="4" t="s">
        <v>13</v>
      </c>
      <c r="C5" s="5">
        <v>1241650</v>
      </c>
      <c r="D5" s="3" t="s">
        <v>19</v>
      </c>
      <c r="E5" s="6">
        <v>23480238</v>
      </c>
      <c r="F5" s="3"/>
      <c r="G5" s="4" t="s">
        <v>15</v>
      </c>
      <c r="H5" s="4" t="s">
        <v>16</v>
      </c>
    </row>
    <row r="6" spans="1:9" x14ac:dyDescent="0.3">
      <c r="A6" s="4" t="s">
        <v>20</v>
      </c>
      <c r="B6" s="4" t="s">
        <v>13</v>
      </c>
      <c r="C6" s="5">
        <v>874100</v>
      </c>
      <c r="D6" s="3" t="s">
        <v>21</v>
      </c>
      <c r="E6" s="6">
        <v>25461321</v>
      </c>
      <c r="F6" s="3"/>
      <c r="G6" s="4" t="s">
        <v>15</v>
      </c>
      <c r="H6" s="4" t="s">
        <v>16</v>
      </c>
    </row>
    <row r="7" spans="1:9" x14ac:dyDescent="0.3">
      <c r="A7" s="4" t="s">
        <v>22</v>
      </c>
      <c r="B7" s="4" t="s">
        <v>13</v>
      </c>
      <c r="C7" s="5">
        <v>1171700</v>
      </c>
      <c r="D7" s="3" t="s">
        <v>23</v>
      </c>
      <c r="E7" s="6">
        <v>22698928</v>
      </c>
      <c r="F7" s="3"/>
      <c r="G7" s="4" t="s">
        <v>15</v>
      </c>
      <c r="H7" s="4" t="s">
        <v>16</v>
      </c>
    </row>
    <row r="8" spans="1:9" x14ac:dyDescent="0.3">
      <c r="A8" s="4" t="s">
        <v>24</v>
      </c>
      <c r="B8" s="4" t="s">
        <v>25</v>
      </c>
      <c r="C8" s="5">
        <v>1471800</v>
      </c>
      <c r="D8" s="16" t="s">
        <v>26</v>
      </c>
      <c r="E8" s="6" t="s">
        <v>370</v>
      </c>
      <c r="F8" s="3" t="s">
        <v>371</v>
      </c>
      <c r="G8" s="4" t="s">
        <v>15</v>
      </c>
      <c r="H8" s="4" t="s">
        <v>27</v>
      </c>
    </row>
    <row r="9" spans="1:9" x14ac:dyDescent="0.3">
      <c r="A9" s="4" t="s">
        <v>28</v>
      </c>
      <c r="B9" s="4" t="s">
        <v>13</v>
      </c>
      <c r="C9" s="5">
        <v>1201300</v>
      </c>
      <c r="D9" s="3" t="s">
        <v>29</v>
      </c>
      <c r="E9" s="6">
        <v>23480229</v>
      </c>
      <c r="F9" s="3"/>
      <c r="G9" s="4" t="s">
        <v>15</v>
      </c>
      <c r="H9" s="4" t="s">
        <v>16</v>
      </c>
    </row>
    <row r="10" spans="1:9" x14ac:dyDescent="0.3">
      <c r="A10" s="4" t="s">
        <v>30</v>
      </c>
      <c r="B10" s="4" t="s">
        <v>25</v>
      </c>
      <c r="C10" s="5">
        <v>3464700</v>
      </c>
      <c r="D10" s="3" t="s">
        <v>136</v>
      </c>
      <c r="E10" s="6" t="s">
        <v>380</v>
      </c>
      <c r="F10" s="16" t="s">
        <v>363</v>
      </c>
      <c r="G10" s="4" t="s">
        <v>11</v>
      </c>
    </row>
    <row r="11" spans="1:9" x14ac:dyDescent="0.3">
      <c r="A11" s="4" t="s">
        <v>31</v>
      </c>
      <c r="B11" s="4" t="s">
        <v>13</v>
      </c>
      <c r="C11" s="5">
        <v>4871750</v>
      </c>
      <c r="D11" s="3" t="s">
        <v>152</v>
      </c>
      <c r="E11" s="6">
        <v>42325</v>
      </c>
      <c r="F11" s="3"/>
      <c r="G11" s="4" t="s">
        <v>11</v>
      </c>
    </row>
    <row r="12" spans="1:9" x14ac:dyDescent="0.3">
      <c r="A12" s="4" t="s">
        <v>32</v>
      </c>
      <c r="B12" s="4" t="s">
        <v>9</v>
      </c>
      <c r="C12" s="5">
        <v>3400700</v>
      </c>
      <c r="D12" s="16" t="s">
        <v>137</v>
      </c>
      <c r="E12" s="6"/>
      <c r="F12" s="3"/>
      <c r="G12" s="4" t="s">
        <v>11</v>
      </c>
    </row>
    <row r="13" spans="1:9" x14ac:dyDescent="0.3">
      <c r="A13" s="4" t="s">
        <v>33</v>
      </c>
      <c r="B13" s="4" t="s">
        <v>13</v>
      </c>
      <c r="C13" s="5">
        <v>678540</v>
      </c>
      <c r="D13" s="3" t="s">
        <v>323</v>
      </c>
      <c r="E13" s="6"/>
      <c r="F13" s="3"/>
      <c r="G13" s="4" t="s">
        <v>15</v>
      </c>
      <c r="H13" s="4" t="s">
        <v>16</v>
      </c>
    </row>
    <row r="14" spans="1:9" x14ac:dyDescent="0.3">
      <c r="A14" s="4" t="s">
        <v>35</v>
      </c>
      <c r="B14" s="4" t="s">
        <v>13</v>
      </c>
      <c r="C14" s="5">
        <v>200600</v>
      </c>
      <c r="D14" s="3" t="s">
        <v>36</v>
      </c>
      <c r="E14" s="6">
        <v>118912</v>
      </c>
      <c r="F14" s="4" t="s">
        <v>346</v>
      </c>
      <c r="G14" s="4" t="s">
        <v>15</v>
      </c>
      <c r="H14" s="4" t="s">
        <v>16</v>
      </c>
    </row>
    <row r="15" spans="1:9" x14ac:dyDescent="0.3">
      <c r="A15" s="4" t="s">
        <v>37</v>
      </c>
      <c r="B15" s="4" t="s">
        <v>13</v>
      </c>
      <c r="C15" s="5">
        <v>903700</v>
      </c>
      <c r="D15" s="3" t="s">
        <v>38</v>
      </c>
      <c r="E15" s="6"/>
      <c r="G15" s="4" t="s">
        <v>15</v>
      </c>
      <c r="H15" s="4" t="s">
        <v>16</v>
      </c>
    </row>
    <row r="16" spans="1:9" x14ac:dyDescent="0.3">
      <c r="A16" s="4" t="s">
        <v>39</v>
      </c>
      <c r="D16" s="3"/>
      <c r="E16" s="6"/>
      <c r="F16" s="3"/>
    </row>
    <row r="17" spans="1:8" x14ac:dyDescent="0.3">
      <c r="A17" s="4" t="s">
        <v>40</v>
      </c>
      <c r="B17" s="4" t="s">
        <v>13</v>
      </c>
      <c r="C17" s="5">
        <v>1965700</v>
      </c>
      <c r="D17" s="3" t="s">
        <v>41</v>
      </c>
      <c r="E17" s="6">
        <v>24596163</v>
      </c>
      <c r="F17" s="3"/>
      <c r="G17" s="4" t="s">
        <v>15</v>
      </c>
      <c r="H17" s="4" t="s">
        <v>16</v>
      </c>
    </row>
    <row r="18" spans="1:8" x14ac:dyDescent="0.3">
      <c r="A18" s="4" t="s">
        <v>42</v>
      </c>
      <c r="B18" s="4" t="s">
        <v>13</v>
      </c>
      <c r="C18" s="5">
        <v>871500</v>
      </c>
      <c r="D18" s="3" t="s">
        <v>128</v>
      </c>
      <c r="E18" s="6"/>
      <c r="F18" s="3"/>
      <c r="G18" s="4" t="s">
        <v>15</v>
      </c>
      <c r="H18" s="4" t="s">
        <v>16</v>
      </c>
    </row>
    <row r="19" spans="1:8" x14ac:dyDescent="0.3">
      <c r="A19" s="4" t="s">
        <v>43</v>
      </c>
      <c r="D19" s="3"/>
      <c r="E19" s="6"/>
      <c r="F19" s="3"/>
    </row>
    <row r="20" spans="1:8" x14ac:dyDescent="0.3">
      <c r="A20" s="4" t="s">
        <v>44</v>
      </c>
      <c r="B20" s="4" t="s">
        <v>9</v>
      </c>
      <c r="C20" s="5">
        <v>3246450</v>
      </c>
      <c r="D20" s="3" t="s">
        <v>45</v>
      </c>
      <c r="E20" s="15">
        <v>769390</v>
      </c>
      <c r="F20" s="16"/>
      <c r="G20" s="4" t="s">
        <v>11</v>
      </c>
    </row>
    <row r="21" spans="1:8" x14ac:dyDescent="0.3">
      <c r="A21" s="4" t="s">
        <v>46</v>
      </c>
      <c r="B21" s="4" t="s">
        <v>25</v>
      </c>
      <c r="C21" s="5">
        <v>806900</v>
      </c>
      <c r="D21" s="3" t="s">
        <v>320</v>
      </c>
      <c r="E21" s="6" t="s">
        <v>366</v>
      </c>
      <c r="F21" s="3" t="s">
        <v>367</v>
      </c>
      <c r="G21" s="4" t="s">
        <v>15</v>
      </c>
      <c r="H21" s="4" t="s">
        <v>27</v>
      </c>
    </row>
    <row r="22" spans="1:8" x14ac:dyDescent="0.3">
      <c r="A22" s="4" t="s">
        <v>49</v>
      </c>
      <c r="B22" s="4" t="s">
        <v>13</v>
      </c>
      <c r="C22" s="5">
        <v>1384700</v>
      </c>
      <c r="D22" s="3" t="s">
        <v>50</v>
      </c>
      <c r="E22" s="6"/>
      <c r="F22" s="3"/>
      <c r="G22" s="4" t="s">
        <v>15</v>
      </c>
      <c r="H22" s="4" t="s">
        <v>16</v>
      </c>
    </row>
    <row r="23" spans="1:8" x14ac:dyDescent="0.3">
      <c r="A23" s="4" t="s">
        <v>51</v>
      </c>
      <c r="B23" s="4" t="s">
        <v>13</v>
      </c>
      <c r="C23" s="5">
        <v>1468500</v>
      </c>
      <c r="D23" s="5" t="s">
        <v>215</v>
      </c>
      <c r="E23" s="6">
        <v>125395</v>
      </c>
      <c r="F23" s="3" t="s">
        <v>372</v>
      </c>
      <c r="G23" s="4" t="s">
        <v>15</v>
      </c>
      <c r="H23" s="4" t="s">
        <v>16</v>
      </c>
    </row>
    <row r="24" spans="1:8" x14ac:dyDescent="0.3">
      <c r="A24" s="4" t="s">
        <v>52</v>
      </c>
      <c r="B24" s="4" t="s">
        <v>13</v>
      </c>
      <c r="D24" s="3" t="s">
        <v>294</v>
      </c>
      <c r="E24" s="6"/>
      <c r="F24" s="3"/>
    </row>
    <row r="25" spans="1:8" x14ac:dyDescent="0.3">
      <c r="A25" s="4" t="s">
        <v>53</v>
      </c>
      <c r="B25" s="4" t="s">
        <v>9</v>
      </c>
      <c r="D25" s="3" t="s">
        <v>54</v>
      </c>
      <c r="E25" s="6"/>
      <c r="F25" s="3"/>
    </row>
    <row r="26" spans="1:8" x14ac:dyDescent="0.3">
      <c r="A26" s="4" t="s">
        <v>55</v>
      </c>
      <c r="B26" s="4" t="s">
        <v>13</v>
      </c>
      <c r="C26" s="5">
        <v>884950</v>
      </c>
      <c r="D26" s="3" t="s">
        <v>56</v>
      </c>
      <c r="E26" s="6">
        <v>122308</v>
      </c>
      <c r="F26" s="3" t="s">
        <v>368</v>
      </c>
      <c r="G26" s="4" t="s">
        <v>15</v>
      </c>
      <c r="H26" s="4" t="s">
        <v>16</v>
      </c>
    </row>
    <row r="27" spans="1:8" x14ac:dyDescent="0.3">
      <c r="A27" s="4" t="s">
        <v>57</v>
      </c>
      <c r="B27" s="4" t="s">
        <v>13</v>
      </c>
      <c r="C27" s="5">
        <v>255635</v>
      </c>
      <c r="D27" s="3" t="s">
        <v>58</v>
      </c>
      <c r="E27" s="6">
        <v>128351</v>
      </c>
      <c r="F27" s="3" t="s">
        <v>375</v>
      </c>
      <c r="G27" s="4" t="s">
        <v>15</v>
      </c>
      <c r="H27" s="4" t="s">
        <v>16</v>
      </c>
    </row>
    <row r="28" spans="1:8" x14ac:dyDescent="0.3">
      <c r="A28" s="4" t="s">
        <v>59</v>
      </c>
      <c r="B28" s="4" t="s">
        <v>25</v>
      </c>
      <c r="D28" s="3" t="s">
        <v>299</v>
      </c>
      <c r="E28" s="6"/>
      <c r="F28" s="3"/>
      <c r="G28" s="7"/>
      <c r="H28" s="5"/>
    </row>
    <row r="29" spans="1:8" x14ac:dyDescent="0.3">
      <c r="A29" s="4" t="s">
        <v>60</v>
      </c>
      <c r="D29" s="3"/>
      <c r="E29" s="6"/>
      <c r="F29" s="3"/>
    </row>
    <row r="30" spans="1:8" x14ac:dyDescent="0.3">
      <c r="A30" s="4" t="s">
        <v>61</v>
      </c>
      <c r="B30" s="4" t="s">
        <v>13</v>
      </c>
      <c r="C30" s="5">
        <v>1840200</v>
      </c>
      <c r="D30" s="3" t="s">
        <v>243</v>
      </c>
      <c r="E30" s="6">
        <v>124332</v>
      </c>
      <c r="F30" s="3" t="s">
        <v>369</v>
      </c>
      <c r="G30" s="4" t="s">
        <v>15</v>
      </c>
      <c r="H30" s="4" t="s">
        <v>16</v>
      </c>
    </row>
    <row r="31" spans="1:8" x14ac:dyDescent="0.3">
      <c r="A31" s="4" t="s">
        <v>63</v>
      </c>
      <c r="D31" s="3"/>
      <c r="E31" s="6"/>
      <c r="F31" s="3"/>
    </row>
    <row r="32" spans="1:8" x14ac:dyDescent="0.3">
      <c r="A32" s="4" t="s">
        <v>64</v>
      </c>
      <c r="B32" s="4" t="s">
        <v>13</v>
      </c>
      <c r="D32" s="3" t="s">
        <v>168</v>
      </c>
      <c r="E32" s="6"/>
      <c r="F32" s="3"/>
    </row>
    <row r="33" spans="1:8" x14ac:dyDescent="0.3">
      <c r="A33" s="4" t="s">
        <v>65</v>
      </c>
      <c r="B33" s="4" t="s">
        <v>13</v>
      </c>
      <c r="C33" s="5">
        <v>2099650</v>
      </c>
      <c r="D33" s="7" t="s">
        <v>66</v>
      </c>
      <c r="E33" s="6">
        <v>23480235</v>
      </c>
      <c r="F33" s="3"/>
      <c r="G33" s="4" t="s">
        <v>15</v>
      </c>
      <c r="H33" s="4" t="s">
        <v>16</v>
      </c>
    </row>
    <row r="34" spans="1:8" x14ac:dyDescent="0.3">
      <c r="A34" s="4" t="s">
        <v>67</v>
      </c>
      <c r="B34" s="4" t="s">
        <v>13</v>
      </c>
      <c r="C34" s="5">
        <v>1826000</v>
      </c>
      <c r="D34" s="3" t="s">
        <v>68</v>
      </c>
      <c r="E34" s="6">
        <v>23480239</v>
      </c>
      <c r="F34" s="3"/>
      <c r="G34" s="4" t="s">
        <v>15</v>
      </c>
      <c r="H34" s="4" t="s">
        <v>16</v>
      </c>
    </row>
    <row r="35" spans="1:8" x14ac:dyDescent="0.3">
      <c r="A35" s="4" t="s">
        <v>69</v>
      </c>
      <c r="B35" s="4" t="s">
        <v>25</v>
      </c>
      <c r="D35" s="3" t="s">
        <v>70</v>
      </c>
      <c r="E35" s="6"/>
      <c r="F35" s="3"/>
    </row>
    <row r="36" spans="1:8" x14ac:dyDescent="0.3">
      <c r="A36" s="4" t="s">
        <v>71</v>
      </c>
      <c r="B36" s="4" t="s">
        <v>25</v>
      </c>
      <c r="C36" s="5">
        <v>2651800</v>
      </c>
      <c r="D36" s="7" t="s">
        <v>72</v>
      </c>
      <c r="E36" s="6">
        <v>4999648</v>
      </c>
      <c r="F36" s="3"/>
      <c r="G36" s="4" t="s">
        <v>15</v>
      </c>
      <c r="H36" s="4" t="s">
        <v>27</v>
      </c>
    </row>
    <row r="37" spans="1:8" x14ac:dyDescent="0.3">
      <c r="A37" s="4" t="s">
        <v>73</v>
      </c>
      <c r="B37" s="4" t="s">
        <v>13</v>
      </c>
      <c r="C37" s="5">
        <v>2664900</v>
      </c>
      <c r="D37" s="3" t="s">
        <v>74</v>
      </c>
      <c r="E37" s="6">
        <v>137688</v>
      </c>
      <c r="F37" s="3" t="s">
        <v>379</v>
      </c>
      <c r="G37" s="4" t="s">
        <v>15</v>
      </c>
      <c r="H37" s="4" t="s">
        <v>16</v>
      </c>
    </row>
    <row r="38" spans="1:8" x14ac:dyDescent="0.3">
      <c r="A38" s="4" t="s">
        <v>75</v>
      </c>
      <c r="D38" s="3"/>
      <c r="E38" s="6"/>
      <c r="F38" s="3"/>
    </row>
    <row r="39" spans="1:8" x14ac:dyDescent="0.3">
      <c r="A39" s="4" t="s">
        <v>76</v>
      </c>
      <c r="B39" s="4" t="s">
        <v>25</v>
      </c>
      <c r="C39" s="5">
        <v>1224200</v>
      </c>
      <c r="D39" s="3" t="s">
        <v>77</v>
      </c>
      <c r="E39" s="6">
        <v>4975974</v>
      </c>
      <c r="F39" s="3"/>
      <c r="G39" s="4" t="s">
        <v>15</v>
      </c>
      <c r="H39" s="4" t="s">
        <v>27</v>
      </c>
    </row>
    <row r="40" spans="1:8" x14ac:dyDescent="0.3">
      <c r="A40" s="4" t="s">
        <v>78</v>
      </c>
      <c r="D40" s="3"/>
      <c r="E40" s="6"/>
      <c r="F40" s="3"/>
    </row>
    <row r="41" spans="1:8" x14ac:dyDescent="0.3">
      <c r="A41" s="4" t="s">
        <v>79</v>
      </c>
      <c r="B41" s="4" t="s">
        <v>9</v>
      </c>
      <c r="D41" s="16" t="s">
        <v>201</v>
      </c>
      <c r="E41" s="6"/>
      <c r="F41" s="3"/>
    </row>
    <row r="42" spans="1:8" x14ac:dyDescent="0.3">
      <c r="A42" s="4" t="s">
        <v>80</v>
      </c>
      <c r="B42" s="4" t="s">
        <v>13</v>
      </c>
      <c r="D42" s="7" t="s">
        <v>115</v>
      </c>
      <c r="E42" s="6"/>
      <c r="F42" s="3"/>
    </row>
    <row r="43" spans="1:8" x14ac:dyDescent="0.3">
      <c r="A43" s="4" t="s">
        <v>81</v>
      </c>
      <c r="B43" s="4" t="s">
        <v>9</v>
      </c>
      <c r="C43" s="5">
        <v>1315700</v>
      </c>
      <c r="D43" s="3" t="s">
        <v>82</v>
      </c>
      <c r="E43" s="6">
        <v>21228098</v>
      </c>
      <c r="F43" s="3"/>
      <c r="G43" s="4" t="s">
        <v>11</v>
      </c>
    </row>
    <row r="44" spans="1:8" x14ac:dyDescent="0.3">
      <c r="A44" s="4" t="s">
        <v>83</v>
      </c>
      <c r="B44" s="4" t="s">
        <v>13</v>
      </c>
      <c r="C44" s="5">
        <v>5882600</v>
      </c>
      <c r="D44" s="16" t="s">
        <v>313</v>
      </c>
      <c r="E44" s="6">
        <v>151336</v>
      </c>
      <c r="F44" s="16" t="s">
        <v>381</v>
      </c>
      <c r="G44" s="4" t="s">
        <v>15</v>
      </c>
      <c r="H44" s="4" t="s">
        <v>16</v>
      </c>
    </row>
    <row r="45" spans="1:8" x14ac:dyDescent="0.3">
      <c r="A45" s="4" t="s">
        <v>85</v>
      </c>
      <c r="B45" s="4" t="s">
        <v>13</v>
      </c>
      <c r="C45" s="5">
        <v>2649200</v>
      </c>
      <c r="D45" s="3" t="s">
        <v>86</v>
      </c>
      <c r="E45" s="6">
        <v>153074</v>
      </c>
      <c r="F45" s="3" t="s">
        <v>382</v>
      </c>
      <c r="G45" s="4" t="s">
        <v>15</v>
      </c>
      <c r="H45" s="4" t="s">
        <v>16</v>
      </c>
    </row>
    <row r="46" spans="1:8" x14ac:dyDescent="0.3">
      <c r="A46" s="4" t="s">
        <v>87</v>
      </c>
      <c r="B46" s="4" t="s">
        <v>25</v>
      </c>
      <c r="C46" s="5">
        <v>1791400</v>
      </c>
      <c r="D46" s="3" t="s">
        <v>88</v>
      </c>
      <c r="E46" s="6" t="s">
        <v>376</v>
      </c>
      <c r="F46" s="3" t="s">
        <v>377</v>
      </c>
      <c r="G46" s="4" t="s">
        <v>15</v>
      </c>
      <c r="H46" s="4" t="s">
        <v>27</v>
      </c>
    </row>
    <row r="47" spans="1:8" x14ac:dyDescent="0.3">
      <c r="A47" s="4" t="s">
        <v>89</v>
      </c>
      <c r="B47" s="4" t="s">
        <v>13</v>
      </c>
      <c r="C47" s="5">
        <v>2717500</v>
      </c>
      <c r="D47" s="3" t="s">
        <v>90</v>
      </c>
      <c r="E47" s="6"/>
      <c r="F47" s="3"/>
      <c r="G47" s="4" t="s">
        <v>15</v>
      </c>
      <c r="H47" s="4" t="s">
        <v>16</v>
      </c>
    </row>
    <row r="48" spans="1:8" x14ac:dyDescent="0.3">
      <c r="A48" s="4" t="s">
        <v>91</v>
      </c>
      <c r="B48" s="4" t="s">
        <v>25</v>
      </c>
      <c r="C48" s="5">
        <v>965000</v>
      </c>
      <c r="D48" s="7" t="s">
        <v>92</v>
      </c>
      <c r="E48" s="6">
        <v>20498876</v>
      </c>
      <c r="F48" s="3"/>
      <c r="G48" s="4" t="s">
        <v>11</v>
      </c>
    </row>
    <row r="49" spans="1:8" x14ac:dyDescent="0.3">
      <c r="A49" s="4" t="s">
        <v>93</v>
      </c>
      <c r="B49" s="4" t="s">
        <v>13</v>
      </c>
      <c r="C49" s="5">
        <v>1874800</v>
      </c>
      <c r="D49" s="3" t="s">
        <v>259</v>
      </c>
      <c r="E49" s="6">
        <v>136207</v>
      </c>
      <c r="F49" s="3" t="s">
        <v>378</v>
      </c>
      <c r="G49" s="4" t="s">
        <v>15</v>
      </c>
      <c r="H49" s="4" t="s">
        <v>16</v>
      </c>
    </row>
    <row r="50" spans="1:8" x14ac:dyDescent="0.3">
      <c r="A50" s="4" t="s">
        <v>95</v>
      </c>
      <c r="B50" s="4" t="s">
        <v>13</v>
      </c>
      <c r="D50" s="7" t="s">
        <v>332</v>
      </c>
      <c r="E50" s="6"/>
      <c r="F50" s="3"/>
    </row>
    <row r="51" spans="1:8" x14ac:dyDescent="0.3">
      <c r="A51" s="4" t="s">
        <v>96</v>
      </c>
      <c r="B51" s="4" t="s">
        <v>13</v>
      </c>
      <c r="D51" s="7" t="s">
        <v>307</v>
      </c>
      <c r="E51" s="6"/>
      <c r="F51" s="19"/>
    </row>
    <row r="52" spans="1:8" x14ac:dyDescent="0.3">
      <c r="A52" s="4" t="s">
        <v>98</v>
      </c>
      <c r="B52" s="4" t="s">
        <v>9</v>
      </c>
      <c r="C52" s="5">
        <v>1390250</v>
      </c>
      <c r="D52" s="3" t="s">
        <v>99</v>
      </c>
      <c r="E52" s="6">
        <v>2126487</v>
      </c>
      <c r="F52" s="3"/>
      <c r="G52" s="4" t="s">
        <v>11</v>
      </c>
    </row>
    <row r="53" spans="1:8" x14ac:dyDescent="0.3">
      <c r="A53" s="4" t="s">
        <v>100</v>
      </c>
      <c r="B53" s="4" t="s">
        <v>9</v>
      </c>
      <c r="C53" s="5">
        <v>1401800</v>
      </c>
      <c r="D53" s="8" t="s">
        <v>326</v>
      </c>
      <c r="E53" s="9">
        <v>6498223</v>
      </c>
      <c r="F53" s="7"/>
      <c r="G53" s="7" t="s">
        <v>11</v>
      </c>
    </row>
    <row r="54" spans="1:8" x14ac:dyDescent="0.3">
      <c r="A54" s="4" t="s">
        <v>102</v>
      </c>
      <c r="B54" s="4" t="s">
        <v>9</v>
      </c>
      <c r="C54" s="5">
        <v>2237600</v>
      </c>
      <c r="D54" s="3" t="s">
        <v>103</v>
      </c>
      <c r="E54" s="6">
        <v>879606</v>
      </c>
      <c r="F54" s="3"/>
      <c r="G54" s="4" t="s">
        <v>11</v>
      </c>
    </row>
    <row r="55" spans="1:8" x14ac:dyDescent="0.3">
      <c r="A55" s="4" t="s">
        <v>104</v>
      </c>
      <c r="B55" s="4" t="s">
        <v>9</v>
      </c>
      <c r="C55" s="5">
        <v>3427300</v>
      </c>
      <c r="D55" s="3" t="s">
        <v>105</v>
      </c>
      <c r="E55" s="6">
        <v>97111</v>
      </c>
      <c r="F55" s="3"/>
      <c r="G55" s="4" t="s">
        <v>11</v>
      </c>
    </row>
    <row r="56" spans="1:8" x14ac:dyDescent="0.3">
      <c r="A56" s="4" t="s">
        <v>106</v>
      </c>
      <c r="B56" s="4" t="s">
        <v>13</v>
      </c>
      <c r="C56" s="5">
        <v>2920400</v>
      </c>
      <c r="D56" s="3" t="s">
        <v>107</v>
      </c>
      <c r="E56" s="6">
        <v>23211423</v>
      </c>
      <c r="F56" s="3"/>
      <c r="G56" s="4" t="s">
        <v>11</v>
      </c>
    </row>
    <row r="57" spans="1:8" x14ac:dyDescent="0.3">
      <c r="A57" s="4" t="s">
        <v>108</v>
      </c>
      <c r="B57" s="4" t="s">
        <v>13</v>
      </c>
      <c r="C57" s="5">
        <v>2806650</v>
      </c>
      <c r="D57" s="7" t="s">
        <v>135</v>
      </c>
      <c r="E57" s="6">
        <v>23211421</v>
      </c>
      <c r="F57" s="3"/>
      <c r="G57" s="4" t="s">
        <v>11</v>
      </c>
    </row>
    <row r="58" spans="1:8" x14ac:dyDescent="0.3">
      <c r="A58" s="4" t="s">
        <v>109</v>
      </c>
      <c r="B58" s="4" t="s">
        <v>13</v>
      </c>
      <c r="C58" s="5">
        <v>1781250</v>
      </c>
      <c r="D58" s="3" t="s">
        <v>110</v>
      </c>
      <c r="E58" s="6"/>
      <c r="F58" s="3"/>
      <c r="G58" s="4" t="s">
        <v>15</v>
      </c>
      <c r="H58" s="4" t="s">
        <v>16</v>
      </c>
    </row>
    <row r="59" spans="1:8" x14ac:dyDescent="0.3">
      <c r="A59" s="4" t="s">
        <v>111</v>
      </c>
      <c r="B59" s="4" t="s">
        <v>25</v>
      </c>
      <c r="C59" s="5">
        <v>2546550</v>
      </c>
      <c r="D59" s="16" t="s">
        <v>82</v>
      </c>
      <c r="E59" s="15"/>
      <c r="F59" s="16"/>
      <c r="G59" s="4" t="s">
        <v>15</v>
      </c>
      <c r="H59" s="4" t="s">
        <v>27</v>
      </c>
    </row>
    <row r="60" spans="1:8" x14ac:dyDescent="0.3">
      <c r="A60" s="4" t="s">
        <v>113</v>
      </c>
      <c r="B60" s="4" t="s">
        <v>25</v>
      </c>
      <c r="C60" s="5">
        <v>5348850</v>
      </c>
      <c r="D60" s="3" t="s">
        <v>92</v>
      </c>
      <c r="E60" s="15" t="s">
        <v>373</v>
      </c>
      <c r="F60" s="16" t="s">
        <v>374</v>
      </c>
      <c r="G60" s="4" t="s">
        <v>15</v>
      </c>
      <c r="H60" s="4" t="s">
        <v>27</v>
      </c>
    </row>
    <row r="61" spans="1:8" s="10" customFormat="1" ht="15" thickBot="1" x14ac:dyDescent="0.35">
      <c r="A61" s="10" t="s">
        <v>114</v>
      </c>
      <c r="B61" s="4"/>
      <c r="C61" s="11">
        <f>SUM(C2:C60)</f>
        <v>86943825</v>
      </c>
      <c r="D61" s="4"/>
    </row>
    <row r="62" spans="1:8" ht="15" thickTop="1" x14ac:dyDescent="0.3"/>
    <row r="67" spans="4:4" x14ac:dyDescent="0.3">
      <c r="D67" s="12"/>
    </row>
  </sheetData>
  <conditionalFormatting sqref="F14:H15 I20:I27 G20:H28">
    <cfRule type="containsText" dxfId="433" priority="17" operator="containsText" text="No">
      <formula>NOT(ISERROR(SEARCH("No",F14)))</formula>
    </cfRule>
    <cfRule type="containsText" dxfId="432" priority="18" operator="containsText" text="Yes">
      <formula>NOT(ISERROR(SEARCH("Yes",F14)))</formula>
    </cfRule>
  </conditionalFormatting>
  <conditionalFormatting sqref="G1">
    <cfRule type="containsText" dxfId="431" priority="39" operator="containsText" text="No">
      <formula>NOT(ISERROR(SEARCH("No",G1)))</formula>
    </cfRule>
    <cfRule type="containsText" dxfId="430" priority="40" operator="containsText" text="Yes">
      <formula>NOT(ISERROR(SEARCH("Yes",G1)))</formula>
    </cfRule>
  </conditionalFormatting>
  <conditionalFormatting sqref="G16 G19">
    <cfRule type="containsText" dxfId="429" priority="29" operator="containsText" text="No">
      <formula>NOT(ISERROR(SEARCH("No",G16)))</formula>
    </cfRule>
    <cfRule type="containsText" dxfId="428" priority="30" operator="containsText" text="Yes">
      <formula>NOT(ISERROR(SEARCH("Yes",G16)))</formula>
    </cfRule>
  </conditionalFormatting>
  <conditionalFormatting sqref="G29">
    <cfRule type="containsText" dxfId="427" priority="27" operator="containsText" text="No">
      <formula>NOT(ISERROR(SEARCH("No",G29)))</formula>
    </cfRule>
    <cfRule type="containsText" dxfId="426" priority="28" operator="containsText" text="Yes">
      <formula>NOT(ISERROR(SEARCH("Yes",G29)))</formula>
    </cfRule>
  </conditionalFormatting>
  <conditionalFormatting sqref="G40">
    <cfRule type="containsText" dxfId="425" priority="43" operator="containsText" text="No">
      <formula>NOT(ISERROR(SEARCH("No",G40)))</formula>
    </cfRule>
    <cfRule type="containsText" dxfId="424" priority="44" operator="containsText" text="Yes">
      <formula>NOT(ISERROR(SEARCH("Yes",G40)))</formula>
    </cfRule>
  </conditionalFormatting>
  <conditionalFormatting sqref="G43">
    <cfRule type="containsText" dxfId="423" priority="37" operator="containsText" text="No">
      <formula>NOT(ISERROR(SEARCH("No",G43)))</formula>
    </cfRule>
    <cfRule type="containsText" dxfId="422" priority="38" operator="containsText" text="Yes">
      <formula>NOT(ISERROR(SEARCH("Yes",G43)))</formula>
    </cfRule>
  </conditionalFormatting>
  <conditionalFormatting sqref="G52">
    <cfRule type="containsText" dxfId="421" priority="35" operator="containsText" text="No">
      <formula>NOT(ISERROR(SEARCH("No",G52)))</formula>
    </cfRule>
    <cfRule type="containsText" dxfId="420" priority="36" operator="containsText" text="Yes">
      <formula>NOT(ISERROR(SEARCH("Yes",G52)))</formula>
    </cfRule>
  </conditionalFormatting>
  <conditionalFormatting sqref="G61:G1048576">
    <cfRule type="containsText" dxfId="419" priority="41" operator="containsText" text="No">
      <formula>NOT(ISERROR(SEARCH("No",G61)))</formula>
    </cfRule>
    <cfRule type="containsText" dxfId="418" priority="42" operator="containsText" text="Yes">
      <formula>NOT(ISERROR(SEARCH("Yes",G61)))</formula>
    </cfRule>
  </conditionalFormatting>
  <conditionalFormatting sqref="G2:H7">
    <cfRule type="containsText" dxfId="417" priority="3" operator="containsText" text="No">
      <formula>NOT(ISERROR(SEARCH("No",G2)))</formula>
    </cfRule>
    <cfRule type="containsText" dxfId="416" priority="4" operator="containsText" text="Yes">
      <formula>NOT(ISERROR(SEARCH("Yes",G2)))</formula>
    </cfRule>
  </conditionalFormatting>
  <conditionalFormatting sqref="G13:H13">
    <cfRule type="containsText" dxfId="415" priority="13" operator="containsText" text="No">
      <formula>NOT(ISERROR(SEARCH("No",G13)))</formula>
    </cfRule>
    <cfRule type="containsText" dxfId="414" priority="14" operator="containsText" text="Yes">
      <formula>NOT(ISERROR(SEARCH("Yes",G13)))</formula>
    </cfRule>
  </conditionalFormatting>
  <conditionalFormatting sqref="G30:H39">
    <cfRule type="containsText" dxfId="413" priority="15" operator="containsText" text="No">
      <formula>NOT(ISERROR(SEARCH("No",G30)))</formula>
    </cfRule>
    <cfRule type="containsText" dxfId="412" priority="16" operator="containsText" text="Yes">
      <formula>NOT(ISERROR(SEARCH("Yes",G30)))</formula>
    </cfRule>
  </conditionalFormatting>
  <conditionalFormatting sqref="G41:H42">
    <cfRule type="containsText" dxfId="411" priority="23" operator="containsText" text="No">
      <formula>NOT(ISERROR(SEARCH("No",G41)))</formula>
    </cfRule>
    <cfRule type="containsText" dxfId="410" priority="24" operator="containsText" text="Yes">
      <formula>NOT(ISERROR(SEARCH("Yes",G41)))</formula>
    </cfRule>
  </conditionalFormatting>
  <conditionalFormatting sqref="G44:H51">
    <cfRule type="containsText" dxfId="409" priority="7" operator="containsText" text="No">
      <formula>NOT(ISERROR(SEARCH("No",G44)))</formula>
    </cfRule>
    <cfRule type="containsText" dxfId="408" priority="8" operator="containsText" text="Yes">
      <formula>NOT(ISERROR(SEARCH("Yes",G44)))</formula>
    </cfRule>
  </conditionalFormatting>
  <conditionalFormatting sqref="G53:H60">
    <cfRule type="containsText" dxfId="407" priority="9" operator="containsText" text="No">
      <formula>NOT(ISERROR(SEARCH("No",G53)))</formula>
    </cfRule>
    <cfRule type="containsText" dxfId="406" priority="10" operator="containsText" text="Yes">
      <formula>NOT(ISERROR(SEARCH("Yes",G53)))</formula>
    </cfRule>
  </conditionalFormatting>
  <conditionalFormatting sqref="G8:I12">
    <cfRule type="containsText" dxfId="405" priority="19" operator="containsText" text="No">
      <formula>NOT(ISERROR(SEARCH("No",G8)))</formula>
    </cfRule>
    <cfRule type="containsText" dxfId="404" priority="20" operator="containsText" text="Yes">
      <formula>NOT(ISERROR(SEARCH("Yes",G8)))</formula>
    </cfRule>
  </conditionalFormatting>
  <conditionalFormatting sqref="G17:I18">
    <cfRule type="containsText" dxfId="403" priority="1" operator="containsText" text="No">
      <formula>NOT(ISERROR(SEARCH("No",G17)))</formula>
    </cfRule>
    <cfRule type="containsText" dxfId="402" priority="2" operator="containsText" text="Yes">
      <formula>NOT(ISERROR(SEARCH("Yes",G17)))</formula>
    </cfRule>
  </conditionalFormatting>
  <conditionalFormatting sqref="H28">
    <cfRule type="containsText" dxfId="401" priority="31" operator="containsText" text="No">
      <formula>NOT(ISERROR(SEARCH("No",H28)))</formula>
    </cfRule>
    <cfRule type="containsText" dxfId="400" priority="32" operator="containsText" text="Yes">
      <formula>NOT(ISERROR(SEARCH("Yes",H28)))</formula>
    </cfRule>
  </conditionalFormatting>
  <conditionalFormatting sqref="I13:I15">
    <cfRule type="containsText" dxfId="399" priority="21" operator="containsText" text="No">
      <formula>NOT(ISERROR(SEARCH("No",I13)))</formula>
    </cfRule>
    <cfRule type="containsText" dxfId="398" priority="22" operator="containsText" text="Yes">
      <formula>NOT(ISERROR(SEARCH("Yes",I13)))</formula>
    </cfRule>
  </conditionalFormatting>
  <conditionalFormatting sqref="I20">
    <cfRule type="containsText" dxfId="397" priority="33" operator="containsText" text="No">
      <formula>NOT(ISERROR(SEARCH("No",I20)))</formula>
    </cfRule>
    <cfRule type="containsText" dxfId="396" priority="34" operator="containsText" text="Yes">
      <formula>NOT(ISERROR(SEARCH("Yes",I20)))</formula>
    </cfRule>
  </conditionalFormatting>
  <conditionalFormatting sqref="I30">
    <cfRule type="containsText" dxfId="395" priority="25" operator="containsText" text="No">
      <formula>NOT(ISERROR(SEARCH("No",I30)))</formula>
    </cfRule>
    <cfRule type="containsText" dxfId="394" priority="26" operator="containsText" text="Yes">
      <formula>NOT(ISERROR(SEARCH("Yes",I30)))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67"/>
  <sheetViews>
    <sheetView workbookViewId="0">
      <pane xSplit="1" ySplit="1" topLeftCell="B16" activePane="bottomRight" state="frozen"/>
      <selection pane="topRight" activeCell="B1" sqref="B1"/>
      <selection pane="bottomLeft" activeCell="A2" sqref="A2"/>
      <selection pane="bottomRight" activeCell="B20" sqref="B20"/>
    </sheetView>
  </sheetViews>
  <sheetFormatPr defaultColWidth="10" defaultRowHeight="14.4" x14ac:dyDescent="0.3"/>
  <cols>
    <col min="1" max="1" width="17.5546875" style="4" bestFit="1" customWidth="1"/>
    <col min="2" max="2" width="12.33203125" style="4" bestFit="1" customWidth="1"/>
    <col min="3" max="3" width="18.5546875" style="5" bestFit="1" customWidth="1"/>
    <col min="4" max="4" width="23.88671875" style="4" bestFit="1" customWidth="1"/>
    <col min="5" max="5" width="16.6640625" style="4" bestFit="1" customWidth="1"/>
    <col min="6" max="6" width="14.6640625" style="4" bestFit="1" customWidth="1"/>
    <col min="7" max="7" width="14.6640625" style="4" customWidth="1"/>
    <col min="8" max="8" width="12.109375" style="4" bestFit="1" customWidth="1"/>
    <col min="9" max="9" width="4.33203125" style="4" customWidth="1"/>
    <col min="10" max="16384" width="10" style="4"/>
  </cols>
  <sheetData>
    <row r="1" spans="1:9" s="1" customForma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s="1" customFormat="1" x14ac:dyDescent="0.3">
      <c r="A2" s="3" t="s">
        <v>8</v>
      </c>
      <c r="B2" s="4" t="s">
        <v>9</v>
      </c>
      <c r="C2" s="5">
        <v>3037800</v>
      </c>
      <c r="D2" s="3" t="s">
        <v>10</v>
      </c>
      <c r="E2" s="6">
        <v>21286343</v>
      </c>
      <c r="F2" s="3"/>
      <c r="G2" s="4" t="s">
        <v>11</v>
      </c>
      <c r="H2" s="4"/>
      <c r="I2" s="16"/>
    </row>
    <row r="3" spans="1:9" x14ac:dyDescent="0.3">
      <c r="A3" s="4" t="s">
        <v>12</v>
      </c>
      <c r="B3" s="4" t="s">
        <v>13</v>
      </c>
      <c r="C3" s="5">
        <v>710350</v>
      </c>
      <c r="D3" s="3" t="s">
        <v>14</v>
      </c>
      <c r="E3" s="6">
        <v>171002550</v>
      </c>
      <c r="F3" s="16" t="s">
        <v>394</v>
      </c>
      <c r="G3" s="4" t="s">
        <v>15</v>
      </c>
      <c r="H3" s="4" t="s">
        <v>16</v>
      </c>
    </row>
    <row r="4" spans="1:9" x14ac:dyDescent="0.3">
      <c r="A4" s="4" t="s">
        <v>17</v>
      </c>
      <c r="B4" s="4" t="s">
        <v>25</v>
      </c>
      <c r="C4" s="5">
        <v>498800</v>
      </c>
      <c r="D4" s="16" t="s">
        <v>396</v>
      </c>
      <c r="E4" s="6">
        <v>2100546985</v>
      </c>
      <c r="F4" s="3" t="s">
        <v>397</v>
      </c>
      <c r="G4" s="4" t="s">
        <v>15</v>
      </c>
      <c r="H4" s="4" t="s">
        <v>27</v>
      </c>
    </row>
    <row r="5" spans="1:9" x14ac:dyDescent="0.3">
      <c r="A5" s="4" t="s">
        <v>18</v>
      </c>
      <c r="B5" s="4" t="s">
        <v>13</v>
      </c>
      <c r="C5" s="5">
        <v>1111500</v>
      </c>
      <c r="D5" s="3" t="s">
        <v>19</v>
      </c>
      <c r="E5" s="6">
        <v>23480902</v>
      </c>
      <c r="F5" s="3"/>
      <c r="G5" s="4" t="s">
        <v>15</v>
      </c>
      <c r="H5" s="4" t="s">
        <v>16</v>
      </c>
    </row>
    <row r="6" spans="1:9" x14ac:dyDescent="0.3">
      <c r="A6" s="4" t="s">
        <v>20</v>
      </c>
      <c r="B6" s="4" t="s">
        <v>13</v>
      </c>
      <c r="C6" s="5">
        <v>770900</v>
      </c>
      <c r="D6" s="3" t="s">
        <v>21</v>
      </c>
      <c r="E6" s="6">
        <v>25461294</v>
      </c>
      <c r="F6" s="3"/>
      <c r="G6" s="4" t="s">
        <v>15</v>
      </c>
      <c r="H6" s="4" t="s">
        <v>16</v>
      </c>
    </row>
    <row r="7" spans="1:9" x14ac:dyDescent="0.3">
      <c r="A7" s="4" t="s">
        <v>22</v>
      </c>
      <c r="B7" s="4" t="s">
        <v>13</v>
      </c>
      <c r="C7" s="5">
        <v>1215200</v>
      </c>
      <c r="D7" s="3" t="s">
        <v>23</v>
      </c>
      <c r="E7" s="6">
        <v>23480741</v>
      </c>
      <c r="F7" s="3"/>
      <c r="G7" s="4" t="s">
        <v>15</v>
      </c>
      <c r="H7" s="4" t="s">
        <v>16</v>
      </c>
    </row>
    <row r="8" spans="1:9" x14ac:dyDescent="0.3">
      <c r="A8" s="4" t="s">
        <v>24</v>
      </c>
      <c r="B8" s="4" t="s">
        <v>25</v>
      </c>
      <c r="C8" s="5">
        <v>1240130</v>
      </c>
      <c r="D8" s="16" t="s">
        <v>26</v>
      </c>
      <c r="E8" s="6" t="s">
        <v>390</v>
      </c>
      <c r="F8" s="3" t="s">
        <v>338</v>
      </c>
      <c r="G8" s="4" t="s">
        <v>15</v>
      </c>
      <c r="H8" s="4" t="s">
        <v>27</v>
      </c>
    </row>
    <row r="9" spans="1:9" x14ac:dyDescent="0.3">
      <c r="A9" s="4" t="s">
        <v>28</v>
      </c>
      <c r="B9" s="4" t="s">
        <v>13</v>
      </c>
      <c r="C9" s="5">
        <v>907800</v>
      </c>
      <c r="D9" s="3" t="s">
        <v>29</v>
      </c>
      <c r="E9" s="6">
        <v>23480245</v>
      </c>
      <c r="F9" s="3"/>
      <c r="G9" s="4" t="s">
        <v>15</v>
      </c>
      <c r="H9" s="4" t="s">
        <v>16</v>
      </c>
    </row>
    <row r="10" spans="1:9" x14ac:dyDescent="0.3">
      <c r="A10" s="4" t="s">
        <v>30</v>
      </c>
      <c r="B10" s="4" t="s">
        <v>25</v>
      </c>
      <c r="C10" s="5">
        <v>3566200</v>
      </c>
      <c r="D10" s="3" t="s">
        <v>136</v>
      </c>
      <c r="E10" s="6" t="s">
        <v>398</v>
      </c>
      <c r="F10" s="16"/>
      <c r="G10" s="4" t="s">
        <v>15</v>
      </c>
      <c r="H10" s="4" t="s">
        <v>27</v>
      </c>
    </row>
    <row r="11" spans="1:9" x14ac:dyDescent="0.3">
      <c r="A11" s="4" t="s">
        <v>31</v>
      </c>
      <c r="D11" s="3"/>
      <c r="E11" s="6"/>
      <c r="F11" s="3"/>
    </row>
    <row r="12" spans="1:9" x14ac:dyDescent="0.3">
      <c r="A12" s="4" t="s">
        <v>32</v>
      </c>
      <c r="B12" s="4" t="s">
        <v>9</v>
      </c>
      <c r="C12" s="5">
        <v>3382800</v>
      </c>
      <c r="D12" s="16" t="s">
        <v>137</v>
      </c>
      <c r="E12" s="6">
        <v>19859966</v>
      </c>
      <c r="F12" s="3"/>
      <c r="G12" s="4" t="s">
        <v>11</v>
      </c>
    </row>
    <row r="13" spans="1:9" x14ac:dyDescent="0.3">
      <c r="A13" s="4" t="s">
        <v>33</v>
      </c>
      <c r="B13" s="4" t="s">
        <v>13</v>
      </c>
      <c r="C13" s="5">
        <v>829300</v>
      </c>
      <c r="D13" s="3" t="s">
        <v>323</v>
      </c>
      <c r="E13" s="6"/>
      <c r="F13" s="3"/>
      <c r="G13" s="4" t="s">
        <v>15</v>
      </c>
      <c r="H13" s="4" t="s">
        <v>16</v>
      </c>
    </row>
    <row r="14" spans="1:9" x14ac:dyDescent="0.3">
      <c r="A14" s="4" t="s">
        <v>35</v>
      </c>
      <c r="B14" s="4" t="s">
        <v>13</v>
      </c>
      <c r="C14" s="5">
        <v>277350</v>
      </c>
      <c r="D14" s="3" t="s">
        <v>36</v>
      </c>
      <c r="E14" s="6"/>
      <c r="G14" s="4" t="s">
        <v>15</v>
      </c>
      <c r="H14" s="4" t="s">
        <v>16</v>
      </c>
    </row>
    <row r="15" spans="1:9" x14ac:dyDescent="0.3">
      <c r="A15" s="4" t="s">
        <v>37</v>
      </c>
      <c r="B15" s="4" t="s">
        <v>13</v>
      </c>
      <c r="C15" s="5">
        <v>980330</v>
      </c>
      <c r="D15" s="3" t="s">
        <v>38</v>
      </c>
      <c r="E15" s="6"/>
      <c r="G15" s="4" t="s">
        <v>15</v>
      </c>
      <c r="H15" s="4" t="s">
        <v>16</v>
      </c>
    </row>
    <row r="16" spans="1:9" x14ac:dyDescent="0.3">
      <c r="A16" s="4" t="s">
        <v>39</v>
      </c>
      <c r="D16" s="3"/>
      <c r="E16" s="6"/>
      <c r="F16" s="3"/>
    </row>
    <row r="17" spans="1:8" x14ac:dyDescent="0.3">
      <c r="A17" s="4" t="s">
        <v>40</v>
      </c>
      <c r="B17" s="4" t="s">
        <v>13</v>
      </c>
      <c r="C17" s="5">
        <v>1778650</v>
      </c>
      <c r="D17" s="3" t="s">
        <v>41</v>
      </c>
      <c r="E17" s="6"/>
      <c r="F17" s="3"/>
      <c r="G17" s="4" t="s">
        <v>15</v>
      </c>
      <c r="H17" s="4" t="s">
        <v>16</v>
      </c>
    </row>
    <row r="18" spans="1:8" x14ac:dyDescent="0.3">
      <c r="A18" s="4" t="s">
        <v>42</v>
      </c>
      <c r="B18" s="4" t="s">
        <v>13</v>
      </c>
      <c r="D18" s="3" t="s">
        <v>128</v>
      </c>
      <c r="E18" s="6"/>
      <c r="F18" s="3"/>
    </row>
    <row r="19" spans="1:8" x14ac:dyDescent="0.3">
      <c r="A19" s="4" t="s">
        <v>43</v>
      </c>
      <c r="D19" s="3"/>
      <c r="E19" s="6"/>
      <c r="F19" s="3"/>
    </row>
    <row r="20" spans="1:8" x14ac:dyDescent="0.3">
      <c r="A20" s="4" t="s">
        <v>44</v>
      </c>
      <c r="B20" s="4" t="s">
        <v>25</v>
      </c>
      <c r="C20" s="5">
        <v>3127400</v>
      </c>
      <c r="D20" s="3" t="s">
        <v>45</v>
      </c>
      <c r="E20" s="15" t="s">
        <v>388</v>
      </c>
      <c r="F20" s="16" t="s">
        <v>389</v>
      </c>
      <c r="G20" s="4" t="s">
        <v>15</v>
      </c>
      <c r="H20" s="4" t="s">
        <v>27</v>
      </c>
    </row>
    <row r="21" spans="1:8" x14ac:dyDescent="0.3">
      <c r="A21" s="4" t="s">
        <v>46</v>
      </c>
      <c r="B21" s="4" t="s">
        <v>25</v>
      </c>
      <c r="C21" s="5">
        <v>821900</v>
      </c>
      <c r="D21" s="3" t="s">
        <v>320</v>
      </c>
      <c r="E21" s="6" t="s">
        <v>385</v>
      </c>
      <c r="F21" s="3" t="s">
        <v>386</v>
      </c>
      <c r="G21" s="4" t="s">
        <v>15</v>
      </c>
      <c r="H21" s="4" t="s">
        <v>27</v>
      </c>
    </row>
    <row r="22" spans="1:8" x14ac:dyDescent="0.3">
      <c r="A22" s="4" t="s">
        <v>49</v>
      </c>
      <c r="B22" s="4" t="s">
        <v>13</v>
      </c>
      <c r="C22" s="5">
        <v>839400</v>
      </c>
      <c r="D22" s="3" t="s">
        <v>50</v>
      </c>
      <c r="E22" s="6"/>
      <c r="F22" s="3"/>
      <c r="G22" s="4" t="s">
        <v>15</v>
      </c>
      <c r="H22" s="4" t="s">
        <v>16</v>
      </c>
    </row>
    <row r="23" spans="1:8" x14ac:dyDescent="0.3">
      <c r="A23" s="4" t="s">
        <v>51</v>
      </c>
      <c r="B23" s="4" t="s">
        <v>13</v>
      </c>
      <c r="C23" s="5">
        <v>1500000</v>
      </c>
      <c r="D23" s="5" t="s">
        <v>384</v>
      </c>
      <c r="E23" s="6">
        <v>2100460724</v>
      </c>
      <c r="F23" s="3" t="s">
        <v>383</v>
      </c>
      <c r="G23" s="4" t="s">
        <v>15</v>
      </c>
      <c r="H23" s="4" t="s">
        <v>16</v>
      </c>
    </row>
    <row r="24" spans="1:8" x14ac:dyDescent="0.3">
      <c r="A24" s="4" t="s">
        <v>52</v>
      </c>
      <c r="B24" s="4" t="s">
        <v>13</v>
      </c>
      <c r="D24" s="3" t="s">
        <v>294</v>
      </c>
      <c r="E24" s="6"/>
      <c r="F24" s="3"/>
    </row>
    <row r="25" spans="1:8" x14ac:dyDescent="0.3">
      <c r="A25" s="4" t="s">
        <v>53</v>
      </c>
      <c r="B25" s="4" t="s">
        <v>9</v>
      </c>
      <c r="D25" s="3" t="s">
        <v>54</v>
      </c>
      <c r="E25" s="6"/>
      <c r="F25" s="3"/>
    </row>
    <row r="26" spans="1:8" x14ac:dyDescent="0.3">
      <c r="A26" s="4" t="s">
        <v>55</v>
      </c>
      <c r="B26" s="4" t="s">
        <v>13</v>
      </c>
      <c r="C26" s="5">
        <v>754800</v>
      </c>
      <c r="D26" s="3" t="s">
        <v>56</v>
      </c>
      <c r="E26" s="6">
        <v>137911</v>
      </c>
      <c r="F26" s="3" t="s">
        <v>387</v>
      </c>
      <c r="G26" s="4" t="s">
        <v>15</v>
      </c>
      <c r="H26" s="4" t="s">
        <v>16</v>
      </c>
    </row>
    <row r="27" spans="1:8" x14ac:dyDescent="0.3">
      <c r="A27" s="4" t="s">
        <v>57</v>
      </c>
      <c r="B27" s="4" t="s">
        <v>13</v>
      </c>
      <c r="C27" s="5">
        <v>766850</v>
      </c>
      <c r="D27" s="3" t="s">
        <v>58</v>
      </c>
      <c r="E27" s="6"/>
      <c r="F27" s="3"/>
      <c r="G27" s="4" t="s">
        <v>15</v>
      </c>
      <c r="H27" s="4" t="s">
        <v>16</v>
      </c>
    </row>
    <row r="28" spans="1:8" x14ac:dyDescent="0.3">
      <c r="A28" s="4" t="s">
        <v>59</v>
      </c>
      <c r="B28" s="4" t="s">
        <v>25</v>
      </c>
      <c r="D28" s="3" t="s">
        <v>299</v>
      </c>
      <c r="E28" s="6"/>
      <c r="F28" s="3"/>
      <c r="G28" s="7"/>
      <c r="H28" s="5"/>
    </row>
    <row r="29" spans="1:8" x14ac:dyDescent="0.3">
      <c r="A29" s="4" t="s">
        <v>60</v>
      </c>
      <c r="D29" s="3"/>
      <c r="E29" s="6"/>
      <c r="F29" s="3"/>
    </row>
    <row r="30" spans="1:8" x14ac:dyDescent="0.3">
      <c r="A30" s="4" t="s">
        <v>61</v>
      </c>
      <c r="B30" s="4" t="s">
        <v>13</v>
      </c>
      <c r="C30" s="5">
        <v>2754000</v>
      </c>
      <c r="D30" s="3" t="s">
        <v>243</v>
      </c>
      <c r="E30" s="6"/>
      <c r="F30" s="3"/>
      <c r="G30" s="4" t="s">
        <v>15</v>
      </c>
    </row>
    <row r="31" spans="1:8" x14ac:dyDescent="0.3">
      <c r="A31" s="4" t="s">
        <v>63</v>
      </c>
      <c r="D31" s="3"/>
      <c r="E31" s="6"/>
      <c r="F31" s="3"/>
    </row>
    <row r="32" spans="1:8" x14ac:dyDescent="0.3">
      <c r="A32" s="4" t="s">
        <v>64</v>
      </c>
      <c r="B32" s="4" t="s">
        <v>13</v>
      </c>
      <c r="C32" s="5">
        <v>826650</v>
      </c>
      <c r="D32" s="3" t="s">
        <v>168</v>
      </c>
      <c r="E32" s="6">
        <v>23480901</v>
      </c>
      <c r="F32" s="3"/>
      <c r="G32" s="4" t="s">
        <v>15</v>
      </c>
    </row>
    <row r="33" spans="1:8" x14ac:dyDescent="0.3">
      <c r="A33" s="4" t="s">
        <v>65</v>
      </c>
      <c r="B33" s="4" t="s">
        <v>13</v>
      </c>
      <c r="D33" s="7" t="s">
        <v>66</v>
      </c>
      <c r="E33" s="6"/>
      <c r="F33" s="3"/>
    </row>
    <row r="34" spans="1:8" x14ac:dyDescent="0.3">
      <c r="A34" s="4" t="s">
        <v>67</v>
      </c>
      <c r="B34" s="4" t="s">
        <v>13</v>
      </c>
      <c r="C34" s="5">
        <v>1107000</v>
      </c>
      <c r="D34" s="3" t="s">
        <v>68</v>
      </c>
      <c r="E34" s="6">
        <v>23480248</v>
      </c>
      <c r="F34" s="3"/>
      <c r="G34" s="4" t="s">
        <v>15</v>
      </c>
      <c r="H34" s="4" t="s">
        <v>16</v>
      </c>
    </row>
    <row r="35" spans="1:8" x14ac:dyDescent="0.3">
      <c r="A35" s="4" t="s">
        <v>69</v>
      </c>
      <c r="B35" s="4" t="s">
        <v>25</v>
      </c>
      <c r="D35" s="3" t="s">
        <v>70</v>
      </c>
      <c r="E35" s="6"/>
      <c r="F35" s="3"/>
    </row>
    <row r="36" spans="1:8" x14ac:dyDescent="0.3">
      <c r="A36" s="4" t="s">
        <v>71</v>
      </c>
      <c r="B36" s="4" t="s">
        <v>25</v>
      </c>
      <c r="C36" s="5">
        <v>2834900</v>
      </c>
      <c r="D36" s="7" t="s">
        <v>72</v>
      </c>
      <c r="E36" s="6" t="s">
        <v>401</v>
      </c>
      <c r="F36" s="3" t="s">
        <v>402</v>
      </c>
      <c r="G36" s="4" t="s">
        <v>15</v>
      </c>
      <c r="H36" s="4" t="s">
        <v>27</v>
      </c>
    </row>
    <row r="37" spans="1:8" x14ac:dyDescent="0.3">
      <c r="A37" s="4" t="s">
        <v>73</v>
      </c>
      <c r="B37" s="4" t="s">
        <v>13</v>
      </c>
      <c r="C37" s="5">
        <v>1047100</v>
      </c>
      <c r="D37" s="3" t="s">
        <v>74</v>
      </c>
      <c r="E37" s="6">
        <v>1233033</v>
      </c>
      <c r="F37" s="3" t="s">
        <v>395</v>
      </c>
      <c r="G37" s="4" t="s">
        <v>15</v>
      </c>
      <c r="H37" s="4" t="s">
        <v>16</v>
      </c>
    </row>
    <row r="38" spans="1:8" x14ac:dyDescent="0.3">
      <c r="A38" s="4" t="s">
        <v>75</v>
      </c>
      <c r="D38" s="3"/>
      <c r="E38" s="6"/>
      <c r="F38" s="3"/>
    </row>
    <row r="39" spans="1:8" x14ac:dyDescent="0.3">
      <c r="A39" s="4" t="s">
        <v>76</v>
      </c>
      <c r="B39" s="4" t="s">
        <v>25</v>
      </c>
      <c r="C39" s="5">
        <v>1127620</v>
      </c>
      <c r="D39" s="3" t="s">
        <v>77</v>
      </c>
      <c r="E39" s="6">
        <v>8825988</v>
      </c>
      <c r="F39" s="3"/>
      <c r="G39" s="4" t="s">
        <v>15</v>
      </c>
      <c r="H39" s="4" t="s">
        <v>27</v>
      </c>
    </row>
    <row r="40" spans="1:8" x14ac:dyDescent="0.3">
      <c r="A40" s="4" t="s">
        <v>78</v>
      </c>
      <c r="D40" s="3"/>
      <c r="E40" s="20"/>
      <c r="F40" s="3"/>
    </row>
    <row r="41" spans="1:8" x14ac:dyDescent="0.3">
      <c r="A41" s="4" t="s">
        <v>79</v>
      </c>
      <c r="B41" s="4" t="s">
        <v>9</v>
      </c>
      <c r="C41" s="5">
        <v>5700000</v>
      </c>
      <c r="D41" s="16" t="s">
        <v>393</v>
      </c>
      <c r="E41" s="6"/>
      <c r="F41" s="3"/>
    </row>
    <row r="42" spans="1:8" x14ac:dyDescent="0.3">
      <c r="A42" s="4" t="s">
        <v>80</v>
      </c>
      <c r="B42" s="4" t="s">
        <v>13</v>
      </c>
      <c r="C42" s="5">
        <v>804000</v>
      </c>
      <c r="D42" s="7" t="s">
        <v>115</v>
      </c>
      <c r="E42" s="6">
        <v>23480246</v>
      </c>
      <c r="F42" s="3"/>
      <c r="G42" s="4" t="s">
        <v>15</v>
      </c>
      <c r="H42" s="4" t="s">
        <v>16</v>
      </c>
    </row>
    <row r="43" spans="1:8" x14ac:dyDescent="0.3">
      <c r="A43" s="4" t="s">
        <v>81</v>
      </c>
      <c r="B43" s="4" t="s">
        <v>9</v>
      </c>
      <c r="C43" s="5">
        <v>909700</v>
      </c>
      <c r="D43" s="3" t="s">
        <v>82</v>
      </c>
      <c r="E43" s="6">
        <v>21228091</v>
      </c>
      <c r="F43" s="3"/>
      <c r="G43" s="4" t="s">
        <v>11</v>
      </c>
    </row>
    <row r="44" spans="1:8" x14ac:dyDescent="0.3">
      <c r="A44" s="4" t="s">
        <v>83</v>
      </c>
      <c r="B44" s="4" t="s">
        <v>13</v>
      </c>
      <c r="D44" s="16" t="s">
        <v>313</v>
      </c>
      <c r="E44" s="6"/>
      <c r="F44" s="16"/>
    </row>
    <row r="45" spans="1:8" x14ac:dyDescent="0.3">
      <c r="A45" s="4" t="s">
        <v>85</v>
      </c>
      <c r="B45" s="4" t="s">
        <v>13</v>
      </c>
      <c r="C45" s="5">
        <v>2786800</v>
      </c>
      <c r="D45" s="3" t="s">
        <v>86</v>
      </c>
      <c r="E45" s="6"/>
      <c r="F45" s="3"/>
      <c r="G45" s="4" t="s">
        <v>15</v>
      </c>
      <c r="H45" s="4" t="s">
        <v>16</v>
      </c>
    </row>
    <row r="46" spans="1:8" x14ac:dyDescent="0.3">
      <c r="A46" s="4" t="s">
        <v>87</v>
      </c>
      <c r="B46" s="4" t="s">
        <v>25</v>
      </c>
      <c r="C46" s="5">
        <v>3284800</v>
      </c>
      <c r="D46" s="3" t="s">
        <v>88</v>
      </c>
      <c r="E46" s="6" t="s">
        <v>398</v>
      </c>
      <c r="F46" s="3" t="s">
        <v>331</v>
      </c>
      <c r="G46" s="4" t="s">
        <v>15</v>
      </c>
      <c r="H46" s="4" t="s">
        <v>27</v>
      </c>
    </row>
    <row r="47" spans="1:8" x14ac:dyDescent="0.3">
      <c r="A47" s="4" t="s">
        <v>89</v>
      </c>
      <c r="B47" s="4" t="s">
        <v>13</v>
      </c>
      <c r="C47" s="5">
        <v>2733100</v>
      </c>
      <c r="D47" s="3" t="s">
        <v>90</v>
      </c>
      <c r="E47" s="6"/>
      <c r="F47" s="3"/>
      <c r="G47" s="4" t="s">
        <v>15</v>
      </c>
      <c r="H47" s="4" t="s">
        <v>16</v>
      </c>
    </row>
    <row r="48" spans="1:8" x14ac:dyDescent="0.3">
      <c r="A48" s="4" t="s">
        <v>91</v>
      </c>
      <c r="B48" s="4" t="s">
        <v>9</v>
      </c>
      <c r="C48" s="5">
        <v>1340000</v>
      </c>
      <c r="D48" s="7" t="s">
        <v>92</v>
      </c>
      <c r="E48" s="6">
        <v>1094677</v>
      </c>
      <c r="F48" s="3"/>
      <c r="G48" s="4" t="s">
        <v>11</v>
      </c>
    </row>
    <row r="49" spans="1:8" x14ac:dyDescent="0.3">
      <c r="A49" s="4" t="s">
        <v>93</v>
      </c>
      <c r="B49" s="4" t="s">
        <v>13</v>
      </c>
      <c r="D49" s="3" t="s">
        <v>259</v>
      </c>
      <c r="E49" s="6"/>
      <c r="F49" s="3"/>
    </row>
    <row r="50" spans="1:8" x14ac:dyDescent="0.3">
      <c r="A50" s="4" t="s">
        <v>95</v>
      </c>
      <c r="B50" s="4" t="s">
        <v>13</v>
      </c>
      <c r="C50" s="5">
        <v>1641500</v>
      </c>
      <c r="D50" s="7" t="s">
        <v>332</v>
      </c>
      <c r="E50" s="6">
        <v>140186</v>
      </c>
      <c r="F50" s="3" t="s">
        <v>400</v>
      </c>
      <c r="G50" s="4" t="s">
        <v>15</v>
      </c>
      <c r="H50" s="4" t="s">
        <v>16</v>
      </c>
    </row>
    <row r="51" spans="1:8" x14ac:dyDescent="0.3">
      <c r="A51" s="4" t="s">
        <v>96</v>
      </c>
      <c r="B51" s="4" t="s">
        <v>13</v>
      </c>
      <c r="C51" s="5">
        <v>462200</v>
      </c>
      <c r="D51" s="7" t="s">
        <v>307</v>
      </c>
      <c r="E51" s="6">
        <v>168360</v>
      </c>
      <c r="F51" s="19" t="s">
        <v>361</v>
      </c>
      <c r="G51" s="4" t="s">
        <v>15</v>
      </c>
      <c r="H51" s="4" t="s">
        <v>16</v>
      </c>
    </row>
    <row r="52" spans="1:8" x14ac:dyDescent="0.3">
      <c r="A52" s="4" t="s">
        <v>98</v>
      </c>
      <c r="B52" s="4" t="s">
        <v>9</v>
      </c>
      <c r="C52" s="5">
        <v>1101700</v>
      </c>
      <c r="D52" s="3" t="s">
        <v>99</v>
      </c>
      <c r="E52" s="6">
        <v>2126486</v>
      </c>
      <c r="F52" s="3"/>
      <c r="G52" s="4" t="s">
        <v>11</v>
      </c>
    </row>
    <row r="53" spans="1:8" x14ac:dyDescent="0.3">
      <c r="A53" s="4" t="s">
        <v>100</v>
      </c>
      <c r="B53" s="4" t="s">
        <v>9</v>
      </c>
      <c r="C53" s="5">
        <v>1654900</v>
      </c>
      <c r="D53" s="8" t="s">
        <v>326</v>
      </c>
      <c r="E53" s="9">
        <v>6500581</v>
      </c>
      <c r="F53" s="7"/>
      <c r="G53" s="7" t="s">
        <v>11</v>
      </c>
    </row>
    <row r="54" spans="1:8" x14ac:dyDescent="0.3">
      <c r="A54" s="4" t="s">
        <v>102</v>
      </c>
      <c r="B54" s="4" t="s">
        <v>9</v>
      </c>
      <c r="C54" s="5">
        <v>2735000</v>
      </c>
      <c r="D54" s="3" t="s">
        <v>103</v>
      </c>
      <c r="E54" s="6">
        <v>617652</v>
      </c>
      <c r="F54" s="3"/>
      <c r="G54" s="4" t="s">
        <v>11</v>
      </c>
    </row>
    <row r="55" spans="1:8" x14ac:dyDescent="0.3">
      <c r="A55" s="4" t="s">
        <v>104</v>
      </c>
      <c r="B55" s="4" t="s">
        <v>9</v>
      </c>
      <c r="C55" s="5">
        <v>2396050</v>
      </c>
      <c r="D55" s="3" t="s">
        <v>105</v>
      </c>
      <c r="E55" s="6">
        <v>794988</v>
      </c>
      <c r="F55" s="3"/>
      <c r="G55" s="4" t="s">
        <v>11</v>
      </c>
    </row>
    <row r="56" spans="1:8" x14ac:dyDescent="0.3">
      <c r="A56" s="4" t="s">
        <v>106</v>
      </c>
      <c r="B56" s="4" t="s">
        <v>13</v>
      </c>
      <c r="C56" s="5">
        <v>2643000</v>
      </c>
      <c r="D56" s="3" t="s">
        <v>107</v>
      </c>
      <c r="E56" s="6">
        <v>136255</v>
      </c>
      <c r="F56" s="3"/>
      <c r="G56" s="4" t="s">
        <v>15</v>
      </c>
      <c r="H56" s="4" t="s">
        <v>16</v>
      </c>
    </row>
    <row r="57" spans="1:8" x14ac:dyDescent="0.3">
      <c r="A57" s="4" t="s">
        <v>108</v>
      </c>
      <c r="B57" s="4" t="s">
        <v>13</v>
      </c>
      <c r="C57" s="5">
        <v>2254960</v>
      </c>
      <c r="D57" s="7" t="s">
        <v>135</v>
      </c>
      <c r="E57" s="6">
        <v>1256698</v>
      </c>
      <c r="F57" s="3" t="s">
        <v>399</v>
      </c>
      <c r="G57" s="4" t="s">
        <v>15</v>
      </c>
      <c r="H57" s="4" t="s">
        <v>16</v>
      </c>
    </row>
    <row r="58" spans="1:8" x14ac:dyDescent="0.3">
      <c r="A58" s="4" t="s">
        <v>109</v>
      </c>
      <c r="B58" s="4" t="s">
        <v>9</v>
      </c>
      <c r="C58" s="5">
        <v>745500</v>
      </c>
      <c r="D58" s="3" t="s">
        <v>110</v>
      </c>
      <c r="E58" s="6">
        <v>4656116</v>
      </c>
      <c r="F58" s="3"/>
      <c r="G58" s="4" t="s">
        <v>11</v>
      </c>
    </row>
    <row r="59" spans="1:8" x14ac:dyDescent="0.3">
      <c r="A59" s="4" t="s">
        <v>111</v>
      </c>
      <c r="B59" s="4" t="s">
        <v>25</v>
      </c>
      <c r="C59" s="5">
        <v>2631400</v>
      </c>
      <c r="D59" s="16" t="s">
        <v>82</v>
      </c>
      <c r="E59" s="15">
        <v>266190</v>
      </c>
      <c r="F59" s="16"/>
      <c r="G59" s="4" t="s">
        <v>15</v>
      </c>
      <c r="H59" s="4" t="s">
        <v>27</v>
      </c>
    </row>
    <row r="60" spans="1:8" x14ac:dyDescent="0.3">
      <c r="A60" s="4" t="s">
        <v>113</v>
      </c>
      <c r="B60" s="4" t="s">
        <v>25</v>
      </c>
      <c r="C60" s="5">
        <v>5229650</v>
      </c>
      <c r="D60" s="3" t="s">
        <v>92</v>
      </c>
      <c r="E60" s="15" t="s">
        <v>391</v>
      </c>
      <c r="F60" s="16" t="s">
        <v>392</v>
      </c>
      <c r="G60" s="4" t="s">
        <v>15</v>
      </c>
      <c r="H60" s="4" t="s">
        <v>27</v>
      </c>
    </row>
    <row r="61" spans="1:8" s="10" customFormat="1" ht="15" thickBot="1" x14ac:dyDescent="0.35">
      <c r="A61" s="10" t="s">
        <v>114</v>
      </c>
      <c r="B61" s="4"/>
      <c r="C61" s="11">
        <f>SUM(C2:C60)</f>
        <v>78868990</v>
      </c>
      <c r="D61" s="4"/>
    </row>
    <row r="62" spans="1:8" ht="15" thickTop="1" x14ac:dyDescent="0.3"/>
    <row r="67" spans="4:4" x14ac:dyDescent="0.3">
      <c r="D67" s="12"/>
    </row>
  </sheetData>
  <conditionalFormatting sqref="F14:H15 I20:I27 G20:H28">
    <cfRule type="containsText" dxfId="393" priority="17" operator="containsText" text="No">
      <formula>NOT(ISERROR(SEARCH("No",F14)))</formula>
    </cfRule>
    <cfRule type="containsText" dxfId="392" priority="18" operator="containsText" text="Yes">
      <formula>NOT(ISERROR(SEARCH("Yes",F14)))</formula>
    </cfRule>
  </conditionalFormatting>
  <conditionalFormatting sqref="G1">
    <cfRule type="containsText" dxfId="391" priority="39" operator="containsText" text="No">
      <formula>NOT(ISERROR(SEARCH("No",G1)))</formula>
    </cfRule>
    <cfRule type="containsText" dxfId="390" priority="40" operator="containsText" text="Yes">
      <formula>NOT(ISERROR(SEARCH("Yes",G1)))</formula>
    </cfRule>
  </conditionalFormatting>
  <conditionalFormatting sqref="G16 G19">
    <cfRule type="containsText" dxfId="389" priority="29" operator="containsText" text="No">
      <formula>NOT(ISERROR(SEARCH("No",G16)))</formula>
    </cfRule>
    <cfRule type="containsText" dxfId="388" priority="30" operator="containsText" text="Yes">
      <formula>NOT(ISERROR(SEARCH("Yes",G16)))</formula>
    </cfRule>
  </conditionalFormatting>
  <conditionalFormatting sqref="G29">
    <cfRule type="containsText" dxfId="387" priority="27" operator="containsText" text="No">
      <formula>NOT(ISERROR(SEARCH("No",G29)))</formula>
    </cfRule>
    <cfRule type="containsText" dxfId="386" priority="28" operator="containsText" text="Yes">
      <formula>NOT(ISERROR(SEARCH("Yes",G29)))</formula>
    </cfRule>
  </conditionalFormatting>
  <conditionalFormatting sqref="G40">
    <cfRule type="containsText" dxfId="385" priority="43" operator="containsText" text="No">
      <formula>NOT(ISERROR(SEARCH("No",G40)))</formula>
    </cfRule>
    <cfRule type="containsText" dxfId="384" priority="44" operator="containsText" text="Yes">
      <formula>NOT(ISERROR(SEARCH("Yes",G40)))</formula>
    </cfRule>
  </conditionalFormatting>
  <conditionalFormatting sqref="G43">
    <cfRule type="containsText" dxfId="383" priority="37" operator="containsText" text="No">
      <formula>NOT(ISERROR(SEARCH("No",G43)))</formula>
    </cfRule>
    <cfRule type="containsText" dxfId="382" priority="38" operator="containsText" text="Yes">
      <formula>NOT(ISERROR(SEARCH("Yes",G43)))</formula>
    </cfRule>
  </conditionalFormatting>
  <conditionalFormatting sqref="G52">
    <cfRule type="containsText" dxfId="381" priority="35" operator="containsText" text="No">
      <formula>NOT(ISERROR(SEARCH("No",G52)))</formula>
    </cfRule>
    <cfRule type="containsText" dxfId="380" priority="36" operator="containsText" text="Yes">
      <formula>NOT(ISERROR(SEARCH("Yes",G52)))</formula>
    </cfRule>
  </conditionalFormatting>
  <conditionalFormatting sqref="G61:G1048576">
    <cfRule type="containsText" dxfId="379" priority="41" operator="containsText" text="No">
      <formula>NOT(ISERROR(SEARCH("No",G61)))</formula>
    </cfRule>
    <cfRule type="containsText" dxfId="378" priority="42" operator="containsText" text="Yes">
      <formula>NOT(ISERROR(SEARCH("Yes",G61)))</formula>
    </cfRule>
  </conditionalFormatting>
  <conditionalFormatting sqref="G2:H7">
    <cfRule type="containsText" dxfId="377" priority="3" operator="containsText" text="No">
      <formula>NOT(ISERROR(SEARCH("No",G2)))</formula>
    </cfRule>
    <cfRule type="containsText" dxfId="376" priority="4" operator="containsText" text="Yes">
      <formula>NOT(ISERROR(SEARCH("Yes",G2)))</formula>
    </cfRule>
  </conditionalFormatting>
  <conditionalFormatting sqref="G13:H13">
    <cfRule type="containsText" dxfId="375" priority="13" operator="containsText" text="No">
      <formula>NOT(ISERROR(SEARCH("No",G13)))</formula>
    </cfRule>
    <cfRule type="containsText" dxfId="374" priority="14" operator="containsText" text="Yes">
      <formula>NOT(ISERROR(SEARCH("Yes",G13)))</formula>
    </cfRule>
  </conditionalFormatting>
  <conditionalFormatting sqref="G30:H39">
    <cfRule type="containsText" dxfId="373" priority="15" operator="containsText" text="No">
      <formula>NOT(ISERROR(SEARCH("No",G30)))</formula>
    </cfRule>
    <cfRule type="containsText" dxfId="372" priority="16" operator="containsText" text="Yes">
      <formula>NOT(ISERROR(SEARCH("Yes",G30)))</formula>
    </cfRule>
  </conditionalFormatting>
  <conditionalFormatting sqref="G41:H42">
    <cfRule type="containsText" dxfId="371" priority="23" operator="containsText" text="No">
      <formula>NOT(ISERROR(SEARCH("No",G41)))</formula>
    </cfRule>
    <cfRule type="containsText" dxfId="370" priority="24" operator="containsText" text="Yes">
      <formula>NOT(ISERROR(SEARCH("Yes",G41)))</formula>
    </cfRule>
  </conditionalFormatting>
  <conditionalFormatting sqref="G44:H51">
    <cfRule type="containsText" dxfId="369" priority="7" operator="containsText" text="No">
      <formula>NOT(ISERROR(SEARCH("No",G44)))</formula>
    </cfRule>
    <cfRule type="containsText" dxfId="368" priority="8" operator="containsText" text="Yes">
      <formula>NOT(ISERROR(SEARCH("Yes",G44)))</formula>
    </cfRule>
  </conditionalFormatting>
  <conditionalFormatting sqref="G53:H60">
    <cfRule type="containsText" dxfId="367" priority="9" operator="containsText" text="No">
      <formula>NOT(ISERROR(SEARCH("No",G53)))</formula>
    </cfRule>
    <cfRule type="containsText" dxfId="366" priority="10" operator="containsText" text="Yes">
      <formula>NOT(ISERROR(SEARCH("Yes",G53)))</formula>
    </cfRule>
  </conditionalFormatting>
  <conditionalFormatting sqref="G8:I12">
    <cfRule type="containsText" dxfId="365" priority="19" operator="containsText" text="No">
      <formula>NOT(ISERROR(SEARCH("No",G8)))</formula>
    </cfRule>
    <cfRule type="containsText" dxfId="364" priority="20" operator="containsText" text="Yes">
      <formula>NOT(ISERROR(SEARCH("Yes",G8)))</formula>
    </cfRule>
  </conditionalFormatting>
  <conditionalFormatting sqref="G17:I18">
    <cfRule type="containsText" dxfId="363" priority="1" operator="containsText" text="No">
      <formula>NOT(ISERROR(SEARCH("No",G17)))</formula>
    </cfRule>
    <cfRule type="containsText" dxfId="362" priority="2" operator="containsText" text="Yes">
      <formula>NOT(ISERROR(SEARCH("Yes",G17)))</formula>
    </cfRule>
  </conditionalFormatting>
  <conditionalFormatting sqref="H28">
    <cfRule type="containsText" dxfId="361" priority="31" operator="containsText" text="No">
      <formula>NOT(ISERROR(SEARCH("No",H28)))</formula>
    </cfRule>
    <cfRule type="containsText" dxfId="360" priority="32" operator="containsText" text="Yes">
      <formula>NOT(ISERROR(SEARCH("Yes",H28)))</formula>
    </cfRule>
  </conditionalFormatting>
  <conditionalFormatting sqref="I13:I15">
    <cfRule type="containsText" dxfId="359" priority="21" operator="containsText" text="No">
      <formula>NOT(ISERROR(SEARCH("No",I13)))</formula>
    </cfRule>
    <cfRule type="containsText" dxfId="358" priority="22" operator="containsText" text="Yes">
      <formula>NOT(ISERROR(SEARCH("Yes",I13)))</formula>
    </cfRule>
  </conditionalFormatting>
  <conditionalFormatting sqref="I20">
    <cfRule type="containsText" dxfId="357" priority="33" operator="containsText" text="No">
      <formula>NOT(ISERROR(SEARCH("No",I20)))</formula>
    </cfRule>
    <cfRule type="containsText" dxfId="356" priority="34" operator="containsText" text="Yes">
      <formula>NOT(ISERROR(SEARCH("Yes",I20)))</formula>
    </cfRule>
  </conditionalFormatting>
  <conditionalFormatting sqref="I30">
    <cfRule type="containsText" dxfId="355" priority="25" operator="containsText" text="No">
      <formula>NOT(ISERROR(SEARCH("No",I30)))</formula>
    </cfRule>
    <cfRule type="containsText" dxfId="354" priority="26" operator="containsText" text="Yes">
      <formula>NOT(ISERROR(SEARCH("Yes",I30)))</formula>
    </cfRule>
  </conditionalFormatting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AFEA8-7107-4EA1-AAB9-771026E42AA9}">
  <dimension ref="A1:I68"/>
  <sheetViews>
    <sheetView workbookViewId="0">
      <pane ySplit="1" topLeftCell="A27" activePane="bottomLeft" state="frozen"/>
      <selection pane="bottomLeft" sqref="A1:XFD1048576"/>
    </sheetView>
  </sheetViews>
  <sheetFormatPr defaultColWidth="10" defaultRowHeight="14.4" x14ac:dyDescent="0.3"/>
  <cols>
    <col min="1" max="1" width="17.5546875" style="4" bestFit="1" customWidth="1"/>
    <col min="2" max="2" width="12.33203125" style="4" bestFit="1" customWidth="1"/>
    <col min="3" max="3" width="18.5546875" style="5" bestFit="1" customWidth="1"/>
    <col min="4" max="4" width="23.88671875" style="4" bestFit="1" customWidth="1"/>
    <col min="5" max="5" width="16.6640625" style="4" bestFit="1" customWidth="1"/>
    <col min="6" max="6" width="14.6640625" style="4" bestFit="1" customWidth="1"/>
    <col min="7" max="7" width="14.6640625" style="4" customWidth="1"/>
    <col min="8" max="8" width="12.109375" style="4" bestFit="1" customWidth="1"/>
    <col min="9" max="9" width="4.33203125" style="4" customWidth="1"/>
    <col min="10" max="16384" width="10" style="4"/>
  </cols>
  <sheetData>
    <row r="1" spans="1:9" s="1" customForma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s="1" customFormat="1" x14ac:dyDescent="0.3">
      <c r="A2" s="3" t="s">
        <v>8</v>
      </c>
      <c r="B2" s="4" t="s">
        <v>9</v>
      </c>
      <c r="C2" s="5">
        <v>1845400</v>
      </c>
      <c r="D2" s="3" t="s">
        <v>10</v>
      </c>
      <c r="E2" s="6">
        <v>21286300</v>
      </c>
      <c r="F2" s="3"/>
      <c r="G2" s="4" t="s">
        <v>11</v>
      </c>
      <c r="H2" s="4"/>
      <c r="I2" s="3" t="s">
        <v>195</v>
      </c>
    </row>
    <row r="3" spans="1:9" x14ac:dyDescent="0.3">
      <c r="A3" s="4" t="s">
        <v>12</v>
      </c>
      <c r="D3" s="3"/>
      <c r="E3" s="6"/>
      <c r="F3" s="16"/>
    </row>
    <row r="4" spans="1:9" x14ac:dyDescent="0.3">
      <c r="A4" s="4" t="s">
        <v>17</v>
      </c>
      <c r="D4" s="3"/>
      <c r="E4" s="6"/>
      <c r="F4" s="3"/>
      <c r="I4" s="4" t="s">
        <v>195</v>
      </c>
    </row>
    <row r="5" spans="1:9" x14ac:dyDescent="0.3">
      <c r="A5" s="4" t="s">
        <v>18</v>
      </c>
      <c r="B5" s="4" t="s">
        <v>13</v>
      </c>
      <c r="C5" s="5">
        <v>1128700</v>
      </c>
      <c r="D5" s="3" t="s">
        <v>19</v>
      </c>
      <c r="E5" s="6">
        <v>23480928</v>
      </c>
      <c r="F5" s="3"/>
      <c r="G5" s="4" t="s">
        <v>15</v>
      </c>
      <c r="H5" s="4" t="s">
        <v>16</v>
      </c>
      <c r="I5" s="4" t="s">
        <v>195</v>
      </c>
    </row>
    <row r="6" spans="1:9" x14ac:dyDescent="0.3">
      <c r="A6" s="4" t="s">
        <v>20</v>
      </c>
      <c r="B6" s="4" t="s">
        <v>13</v>
      </c>
      <c r="C6" s="5">
        <v>544400</v>
      </c>
      <c r="D6" s="3" t="s">
        <v>21</v>
      </c>
      <c r="E6" s="6">
        <v>25461162</v>
      </c>
      <c r="F6" s="3"/>
      <c r="G6" s="4" t="s">
        <v>15</v>
      </c>
      <c r="H6" s="4" t="s">
        <v>16</v>
      </c>
      <c r="I6" s="4" t="s">
        <v>195</v>
      </c>
    </row>
    <row r="7" spans="1:9" x14ac:dyDescent="0.3">
      <c r="A7" s="4" t="s">
        <v>22</v>
      </c>
      <c r="B7" s="4" t="s">
        <v>13</v>
      </c>
      <c r="C7" s="5">
        <v>1034200</v>
      </c>
      <c r="D7" s="3" t="s">
        <v>23</v>
      </c>
      <c r="E7" s="6">
        <v>23480746</v>
      </c>
      <c r="F7" s="3"/>
      <c r="G7" s="4" t="s">
        <v>15</v>
      </c>
      <c r="H7" s="4" t="s">
        <v>16</v>
      </c>
      <c r="I7" s="4" t="s">
        <v>195</v>
      </c>
    </row>
    <row r="8" spans="1:9" x14ac:dyDescent="0.3">
      <c r="A8" s="4" t="s">
        <v>24</v>
      </c>
      <c r="B8" s="4" t="s">
        <v>25</v>
      </c>
      <c r="C8" s="5">
        <v>1160150</v>
      </c>
      <c r="D8" s="16" t="s">
        <v>26</v>
      </c>
      <c r="E8" s="6" t="s">
        <v>407</v>
      </c>
      <c r="F8" s="3"/>
      <c r="G8" s="4" t="s">
        <v>15</v>
      </c>
      <c r="H8" s="4" t="s">
        <v>27</v>
      </c>
      <c r="I8" s="4" t="s">
        <v>195</v>
      </c>
    </row>
    <row r="9" spans="1:9" x14ac:dyDescent="0.3">
      <c r="A9" s="4" t="s">
        <v>28</v>
      </c>
      <c r="B9" s="4" t="s">
        <v>13</v>
      </c>
      <c r="C9" s="5">
        <v>575270</v>
      </c>
      <c r="D9" s="3" t="s">
        <v>29</v>
      </c>
      <c r="E9" s="6">
        <v>23480912</v>
      </c>
      <c r="F9" s="3"/>
      <c r="G9" s="4" t="s">
        <v>15</v>
      </c>
      <c r="H9" s="4" t="s">
        <v>16</v>
      </c>
      <c r="I9" s="4" t="s">
        <v>195</v>
      </c>
    </row>
    <row r="10" spans="1:9" x14ac:dyDescent="0.3">
      <c r="A10" s="4" t="s">
        <v>30</v>
      </c>
      <c r="B10" s="4" t="s">
        <v>25</v>
      </c>
      <c r="C10" s="5">
        <v>3659100</v>
      </c>
      <c r="D10" s="3" t="s">
        <v>136</v>
      </c>
      <c r="E10" s="6">
        <v>844496</v>
      </c>
      <c r="F10" s="16"/>
      <c r="G10" s="4" t="s">
        <v>15</v>
      </c>
      <c r="H10" s="4" t="s">
        <v>27</v>
      </c>
      <c r="I10" s="4" t="s">
        <v>195</v>
      </c>
    </row>
    <row r="11" spans="1:9" x14ac:dyDescent="0.3">
      <c r="A11" s="4" t="s">
        <v>31</v>
      </c>
      <c r="B11" s="4" t="s">
        <v>9</v>
      </c>
      <c r="C11" s="5">
        <v>4071250</v>
      </c>
      <c r="D11" s="3" t="s">
        <v>152</v>
      </c>
      <c r="E11" s="6">
        <v>42328</v>
      </c>
      <c r="F11" s="3"/>
      <c r="G11" s="4" t="s">
        <v>11</v>
      </c>
      <c r="I11" s="4" t="s">
        <v>195</v>
      </c>
    </row>
    <row r="12" spans="1:9" x14ac:dyDescent="0.3">
      <c r="A12" s="4" t="s">
        <v>32</v>
      </c>
      <c r="B12" s="4" t="s">
        <v>9</v>
      </c>
      <c r="C12" s="5">
        <v>3499000</v>
      </c>
      <c r="D12" s="16" t="s">
        <v>137</v>
      </c>
      <c r="E12" s="6">
        <v>43819</v>
      </c>
      <c r="F12" s="3"/>
      <c r="G12" s="4" t="s">
        <v>11</v>
      </c>
      <c r="I12" s="4" t="s">
        <v>195</v>
      </c>
    </row>
    <row r="13" spans="1:9" x14ac:dyDescent="0.3">
      <c r="A13" s="4" t="s">
        <v>33</v>
      </c>
      <c r="B13" s="4" t="s">
        <v>13</v>
      </c>
      <c r="C13" s="5">
        <v>995450</v>
      </c>
      <c r="D13" s="3" t="s">
        <v>323</v>
      </c>
      <c r="E13" s="6"/>
      <c r="F13" s="3"/>
      <c r="G13" s="4" t="s">
        <v>15</v>
      </c>
      <c r="H13" s="4" t="s">
        <v>16</v>
      </c>
      <c r="I13" s="4" t="s">
        <v>195</v>
      </c>
    </row>
    <row r="14" spans="1:9" x14ac:dyDescent="0.3">
      <c r="A14" s="4" t="s">
        <v>35</v>
      </c>
      <c r="B14" s="4" t="s">
        <v>13</v>
      </c>
      <c r="C14" s="5">
        <v>158750</v>
      </c>
      <c r="D14" s="3" t="s">
        <v>408</v>
      </c>
      <c r="E14" s="6"/>
      <c r="G14" s="4" t="s">
        <v>15</v>
      </c>
      <c r="H14" s="4" t="s">
        <v>16</v>
      </c>
      <c r="I14" s="4" t="s">
        <v>195</v>
      </c>
    </row>
    <row r="15" spans="1:9" x14ac:dyDescent="0.3">
      <c r="A15" s="4" t="s">
        <v>37</v>
      </c>
      <c r="B15" s="4" t="s">
        <v>13</v>
      </c>
      <c r="C15" s="5">
        <v>1217760</v>
      </c>
      <c r="D15" s="3" t="s">
        <v>38</v>
      </c>
      <c r="E15" s="6"/>
      <c r="G15" s="4" t="s">
        <v>15</v>
      </c>
      <c r="H15" s="4" t="s">
        <v>16</v>
      </c>
      <c r="I15" s="4" t="s">
        <v>195</v>
      </c>
    </row>
    <row r="16" spans="1:9" x14ac:dyDescent="0.3">
      <c r="A16" s="4" t="s">
        <v>39</v>
      </c>
      <c r="D16" s="3"/>
      <c r="E16" s="6"/>
      <c r="F16" s="3"/>
    </row>
    <row r="17" spans="1:9" x14ac:dyDescent="0.3">
      <c r="A17" s="4" t="s">
        <v>40</v>
      </c>
      <c r="B17" s="4" t="s">
        <v>13</v>
      </c>
      <c r="C17" s="5">
        <v>1299700</v>
      </c>
      <c r="D17" s="3" t="s">
        <v>41</v>
      </c>
      <c r="E17" s="6">
        <v>24596257</v>
      </c>
      <c r="F17" s="3"/>
      <c r="G17" s="4" t="s">
        <v>15</v>
      </c>
      <c r="H17" s="4" t="s">
        <v>16</v>
      </c>
      <c r="I17" s="4" t="s">
        <v>195</v>
      </c>
    </row>
    <row r="18" spans="1:9" x14ac:dyDescent="0.3">
      <c r="A18" s="4" t="s">
        <v>42</v>
      </c>
      <c r="B18" s="4" t="s">
        <v>13</v>
      </c>
      <c r="C18" s="5">
        <v>645700</v>
      </c>
      <c r="D18" s="3" t="s">
        <v>128</v>
      </c>
      <c r="E18" s="6">
        <v>121873</v>
      </c>
      <c r="F18" s="3" t="s">
        <v>121</v>
      </c>
      <c r="G18" s="4" t="s">
        <v>15</v>
      </c>
      <c r="H18" s="4" t="s">
        <v>16</v>
      </c>
      <c r="I18" s="4" t="s">
        <v>195</v>
      </c>
    </row>
    <row r="19" spans="1:9" x14ac:dyDescent="0.3">
      <c r="A19" s="4" t="s">
        <v>43</v>
      </c>
      <c r="D19" s="3"/>
      <c r="E19" s="6"/>
      <c r="F19" s="3"/>
    </row>
    <row r="20" spans="1:9" x14ac:dyDescent="0.3">
      <c r="A20" s="4" t="s">
        <v>44</v>
      </c>
      <c r="B20" s="4" t="s">
        <v>25</v>
      </c>
      <c r="C20" s="5">
        <v>2790550</v>
      </c>
      <c r="D20" s="3" t="s">
        <v>45</v>
      </c>
      <c r="E20" s="6" t="s">
        <v>411</v>
      </c>
      <c r="F20" s="3" t="s">
        <v>412</v>
      </c>
      <c r="G20" s="4" t="s">
        <v>15</v>
      </c>
      <c r="H20" s="4" t="s">
        <v>27</v>
      </c>
      <c r="I20" s="4" t="s">
        <v>195</v>
      </c>
    </row>
    <row r="21" spans="1:9" x14ac:dyDescent="0.3">
      <c r="A21" s="4" t="s">
        <v>46</v>
      </c>
      <c r="B21" s="4" t="s">
        <v>25</v>
      </c>
      <c r="C21" s="5">
        <v>729900</v>
      </c>
      <c r="D21" s="3" t="s">
        <v>320</v>
      </c>
      <c r="E21" s="6" t="s">
        <v>403</v>
      </c>
      <c r="F21" s="3" t="s">
        <v>404</v>
      </c>
      <c r="G21" s="4" t="s">
        <v>15</v>
      </c>
      <c r="H21" s="4" t="s">
        <v>27</v>
      </c>
      <c r="I21" s="4" t="s">
        <v>195</v>
      </c>
    </row>
    <row r="22" spans="1:9" x14ac:dyDescent="0.3">
      <c r="A22" s="4" t="s">
        <v>49</v>
      </c>
      <c r="B22" s="4" t="s">
        <v>13</v>
      </c>
      <c r="C22" s="5">
        <v>1163920</v>
      </c>
      <c r="D22" s="3" t="s">
        <v>50</v>
      </c>
      <c r="E22" s="6"/>
      <c r="F22" s="3"/>
      <c r="G22" s="4" t="s">
        <v>15</v>
      </c>
      <c r="H22" s="4" t="s">
        <v>16</v>
      </c>
      <c r="I22" s="4" t="s">
        <v>195</v>
      </c>
    </row>
    <row r="23" spans="1:9" x14ac:dyDescent="0.3">
      <c r="A23" s="4" t="s">
        <v>51</v>
      </c>
      <c r="B23" s="4" t="s">
        <v>13</v>
      </c>
      <c r="C23" s="5">
        <v>1872900</v>
      </c>
      <c r="D23" s="5" t="s">
        <v>384</v>
      </c>
      <c r="E23" s="6">
        <v>120322</v>
      </c>
      <c r="F23" s="3" t="s">
        <v>409</v>
      </c>
      <c r="G23" s="4" t="s">
        <v>15</v>
      </c>
      <c r="H23" s="4" t="s">
        <v>16</v>
      </c>
      <c r="I23" s="4" t="s">
        <v>195</v>
      </c>
    </row>
    <row r="24" spans="1:9" x14ac:dyDescent="0.3">
      <c r="A24" s="4" t="s">
        <v>52</v>
      </c>
      <c r="B24" s="4" t="s">
        <v>13</v>
      </c>
      <c r="C24" s="5">
        <v>1515250</v>
      </c>
      <c r="D24" s="3" t="s">
        <v>294</v>
      </c>
      <c r="E24" s="6">
        <v>25461155</v>
      </c>
      <c r="F24" s="3"/>
      <c r="G24" s="4" t="s">
        <v>15</v>
      </c>
      <c r="H24" s="4" t="s">
        <v>16</v>
      </c>
      <c r="I24" s="4" t="s">
        <v>195</v>
      </c>
    </row>
    <row r="25" spans="1:9" x14ac:dyDescent="0.3">
      <c r="A25" s="4" t="s">
        <v>53</v>
      </c>
      <c r="B25" s="4" t="s">
        <v>9</v>
      </c>
      <c r="C25" s="5">
        <v>7191850</v>
      </c>
      <c r="D25" s="3" t="s">
        <v>54</v>
      </c>
      <c r="E25" s="6">
        <v>6770047</v>
      </c>
      <c r="F25" s="3"/>
      <c r="G25" s="4" t="s">
        <v>11</v>
      </c>
      <c r="I25" s="4" t="s">
        <v>195</v>
      </c>
    </row>
    <row r="26" spans="1:9" x14ac:dyDescent="0.3">
      <c r="A26" s="4" t="s">
        <v>55</v>
      </c>
      <c r="B26" s="4" t="s">
        <v>13</v>
      </c>
      <c r="C26" s="5">
        <v>1264550</v>
      </c>
      <c r="D26" s="3" t="s">
        <v>56</v>
      </c>
      <c r="E26" s="6">
        <v>20557230</v>
      </c>
      <c r="F26" s="3" t="s">
        <v>405</v>
      </c>
      <c r="G26" s="4" t="s">
        <v>15</v>
      </c>
      <c r="H26" s="4" t="s">
        <v>16</v>
      </c>
      <c r="I26" s="4" t="s">
        <v>195</v>
      </c>
    </row>
    <row r="27" spans="1:9" x14ac:dyDescent="0.3">
      <c r="A27" s="4" t="s">
        <v>57</v>
      </c>
      <c r="B27" s="4" t="s">
        <v>13</v>
      </c>
      <c r="C27" s="5">
        <v>879275</v>
      </c>
      <c r="D27" s="3" t="s">
        <v>58</v>
      </c>
      <c r="E27" s="6">
        <v>123637</v>
      </c>
      <c r="F27" s="3" t="s">
        <v>413</v>
      </c>
      <c r="G27" s="4" t="s">
        <v>15</v>
      </c>
      <c r="H27" s="4" t="s">
        <v>16</v>
      </c>
      <c r="I27" s="4" t="s">
        <v>195</v>
      </c>
    </row>
    <row r="28" spans="1:9" x14ac:dyDescent="0.3">
      <c r="A28" s="4" t="s">
        <v>59</v>
      </c>
      <c r="B28" s="4" t="s">
        <v>25</v>
      </c>
      <c r="C28" s="5">
        <v>3500000</v>
      </c>
      <c r="D28" s="3" t="s">
        <v>414</v>
      </c>
      <c r="E28" s="6" t="s">
        <v>406</v>
      </c>
      <c r="F28" s="3" t="s">
        <v>216</v>
      </c>
      <c r="G28" s="7" t="s">
        <v>15</v>
      </c>
      <c r="H28" s="5" t="s">
        <v>27</v>
      </c>
      <c r="I28" s="4" t="s">
        <v>195</v>
      </c>
    </row>
    <row r="29" spans="1:9" x14ac:dyDescent="0.3">
      <c r="A29" s="4" t="s">
        <v>60</v>
      </c>
      <c r="D29" s="3"/>
      <c r="E29" s="6"/>
      <c r="F29" s="3"/>
    </row>
    <row r="30" spans="1:9" x14ac:dyDescent="0.3">
      <c r="A30" s="4" t="s">
        <v>61</v>
      </c>
      <c r="B30" s="4" t="s">
        <v>13</v>
      </c>
      <c r="C30" s="5">
        <v>1709500</v>
      </c>
      <c r="D30" s="3" t="s">
        <v>243</v>
      </c>
      <c r="E30" s="6"/>
      <c r="F30" s="3"/>
      <c r="G30" s="4" t="s">
        <v>15</v>
      </c>
      <c r="H30" s="4" t="s">
        <v>16</v>
      </c>
      <c r="I30" s="4" t="s">
        <v>195</v>
      </c>
    </row>
    <row r="31" spans="1:9" x14ac:dyDescent="0.3">
      <c r="A31" s="4" t="s">
        <v>63</v>
      </c>
      <c r="D31" s="3"/>
      <c r="E31" s="6"/>
      <c r="F31" s="3"/>
    </row>
    <row r="32" spans="1:9" x14ac:dyDescent="0.3">
      <c r="A32" s="4" t="s">
        <v>64</v>
      </c>
      <c r="D32" s="3"/>
      <c r="E32" s="6"/>
      <c r="F32" s="3"/>
    </row>
    <row r="33" spans="1:9" x14ac:dyDescent="0.3">
      <c r="A33" s="4" t="s">
        <v>65</v>
      </c>
      <c r="B33" s="4" t="s">
        <v>13</v>
      </c>
      <c r="C33" s="5">
        <v>1802800</v>
      </c>
      <c r="D33" s="7" t="s">
        <v>66</v>
      </c>
      <c r="E33" s="6">
        <v>23480920</v>
      </c>
      <c r="F33" s="3"/>
      <c r="G33" s="4" t="s">
        <v>15</v>
      </c>
      <c r="H33" s="4" t="s">
        <v>16</v>
      </c>
      <c r="I33" s="4" t="s">
        <v>195</v>
      </c>
    </row>
    <row r="34" spans="1:9" x14ac:dyDescent="0.3">
      <c r="A34" s="4" t="s">
        <v>67</v>
      </c>
      <c r="B34" s="4" t="s">
        <v>13</v>
      </c>
      <c r="C34" s="5">
        <v>1432000</v>
      </c>
      <c r="D34" s="3" t="s">
        <v>68</v>
      </c>
      <c r="E34" s="6">
        <v>23480913</v>
      </c>
      <c r="F34" s="3"/>
      <c r="G34" s="4" t="s">
        <v>15</v>
      </c>
      <c r="H34" s="4" t="s">
        <v>16</v>
      </c>
      <c r="I34" s="4" t="s">
        <v>195</v>
      </c>
    </row>
    <row r="35" spans="1:9" x14ac:dyDescent="0.3">
      <c r="A35" s="4" t="s">
        <v>69</v>
      </c>
      <c r="B35" s="4" t="s">
        <v>25</v>
      </c>
      <c r="C35" s="5">
        <v>2246100</v>
      </c>
      <c r="D35" s="3" t="s">
        <v>70</v>
      </c>
      <c r="E35" s="6"/>
      <c r="F35" s="3" t="s">
        <v>410</v>
      </c>
      <c r="G35" s="4" t="s">
        <v>15</v>
      </c>
      <c r="H35" s="4" t="s">
        <v>27</v>
      </c>
      <c r="I35" s="4" t="s">
        <v>195</v>
      </c>
    </row>
    <row r="36" spans="1:9" x14ac:dyDescent="0.3">
      <c r="A36" s="4" t="s">
        <v>71</v>
      </c>
      <c r="B36" s="4" t="s">
        <v>25</v>
      </c>
      <c r="C36" s="5">
        <v>3873200</v>
      </c>
      <c r="D36" s="7" t="s">
        <v>72</v>
      </c>
      <c r="E36" s="6">
        <v>998862</v>
      </c>
      <c r="F36" s="3"/>
      <c r="G36" s="4" t="s">
        <v>15</v>
      </c>
      <c r="H36" s="4" t="s">
        <v>27</v>
      </c>
      <c r="I36" s="4" t="s">
        <v>195</v>
      </c>
    </row>
    <row r="37" spans="1:9" x14ac:dyDescent="0.3">
      <c r="A37" s="4" t="s">
        <v>73</v>
      </c>
      <c r="B37" s="4" t="s">
        <v>13</v>
      </c>
      <c r="C37" s="5">
        <v>2103700</v>
      </c>
      <c r="D37" s="3" t="s">
        <v>74</v>
      </c>
      <c r="E37" s="6">
        <v>130069</v>
      </c>
      <c r="F37" s="3" t="s">
        <v>217</v>
      </c>
      <c r="G37" s="4" t="s">
        <v>15</v>
      </c>
      <c r="H37" s="4" t="s">
        <v>16</v>
      </c>
      <c r="I37" s="4" t="s">
        <v>195</v>
      </c>
    </row>
    <row r="38" spans="1:9" x14ac:dyDescent="0.3">
      <c r="A38" s="4" t="s">
        <v>75</v>
      </c>
      <c r="D38" s="3"/>
      <c r="E38" s="6"/>
      <c r="F38" s="3"/>
    </row>
    <row r="39" spans="1:9" x14ac:dyDescent="0.3">
      <c r="A39" s="4" t="s">
        <v>76</v>
      </c>
      <c r="B39" s="4" t="s">
        <v>25</v>
      </c>
      <c r="C39" s="5">
        <v>1357150</v>
      </c>
      <c r="D39" s="3" t="s">
        <v>77</v>
      </c>
      <c r="E39" s="6">
        <v>8960</v>
      </c>
      <c r="F39" s="3"/>
      <c r="G39" s="4" t="s">
        <v>15</v>
      </c>
      <c r="H39" s="4" t="s">
        <v>27</v>
      </c>
      <c r="I39" s="4" t="s">
        <v>195</v>
      </c>
    </row>
    <row r="40" spans="1:9" x14ac:dyDescent="0.3">
      <c r="A40" s="4" t="s">
        <v>78</v>
      </c>
      <c r="D40" s="3"/>
      <c r="E40" s="20"/>
      <c r="F40" s="3"/>
    </row>
    <row r="41" spans="1:9" x14ac:dyDescent="0.3">
      <c r="A41" s="4" t="s">
        <v>79</v>
      </c>
      <c r="B41" s="4" t="s">
        <v>9</v>
      </c>
      <c r="C41" s="5">
        <v>7000000</v>
      </c>
      <c r="D41" s="16" t="s">
        <v>393</v>
      </c>
      <c r="E41" s="6">
        <v>21201010</v>
      </c>
      <c r="F41" s="3"/>
      <c r="G41" s="4" t="s">
        <v>11</v>
      </c>
      <c r="I41" s="4" t="s">
        <v>195</v>
      </c>
    </row>
    <row r="42" spans="1:9" x14ac:dyDescent="0.3">
      <c r="A42" s="4" t="s">
        <v>80</v>
      </c>
      <c r="B42" s="4" t="s">
        <v>13</v>
      </c>
      <c r="C42" s="5">
        <v>1151700</v>
      </c>
      <c r="D42" s="7" t="s">
        <v>115</v>
      </c>
      <c r="E42" s="6">
        <v>23480914</v>
      </c>
      <c r="F42" s="3"/>
      <c r="G42" s="4" t="s">
        <v>15</v>
      </c>
      <c r="H42" s="4" t="s">
        <v>16</v>
      </c>
      <c r="I42" s="4" t="s">
        <v>195</v>
      </c>
    </row>
    <row r="43" spans="1:9" x14ac:dyDescent="0.3">
      <c r="A43" s="4" t="s">
        <v>81</v>
      </c>
      <c r="B43" s="4" t="s">
        <v>9</v>
      </c>
      <c r="C43" s="5">
        <v>575300</v>
      </c>
      <c r="D43" s="3" t="s">
        <v>82</v>
      </c>
      <c r="E43" s="6">
        <v>21228185</v>
      </c>
      <c r="F43" s="3"/>
      <c r="G43" s="4" t="s">
        <v>11</v>
      </c>
      <c r="I43" s="4" t="s">
        <v>195</v>
      </c>
    </row>
    <row r="44" spans="1:9" x14ac:dyDescent="0.3">
      <c r="A44" s="4" t="s">
        <v>83</v>
      </c>
      <c r="B44" s="4" t="s">
        <v>13</v>
      </c>
      <c r="C44" s="5">
        <v>5306550</v>
      </c>
      <c r="D44" s="16" t="s">
        <v>313</v>
      </c>
      <c r="E44" s="6">
        <v>140813</v>
      </c>
      <c r="F44" s="3" t="s">
        <v>417</v>
      </c>
      <c r="G44" s="4" t="s">
        <v>15</v>
      </c>
      <c r="H44" s="4" t="s">
        <v>16</v>
      </c>
      <c r="I44" s="4" t="s">
        <v>195</v>
      </c>
    </row>
    <row r="45" spans="1:9" x14ac:dyDescent="0.3">
      <c r="A45" s="4" t="s">
        <v>85</v>
      </c>
      <c r="B45" s="4" t="s">
        <v>13</v>
      </c>
      <c r="C45" s="5">
        <v>2995100</v>
      </c>
      <c r="D45" s="3" t="s">
        <v>86</v>
      </c>
      <c r="E45" s="6">
        <v>142117</v>
      </c>
      <c r="F45" s="3" t="s">
        <v>418</v>
      </c>
      <c r="G45" s="4" t="s">
        <v>15</v>
      </c>
      <c r="H45" s="4" t="s">
        <v>16</v>
      </c>
      <c r="I45" s="4" t="s">
        <v>195</v>
      </c>
    </row>
    <row r="46" spans="1:9" x14ac:dyDescent="0.3">
      <c r="A46" s="4" t="s">
        <v>87</v>
      </c>
      <c r="B46" s="4" t="s">
        <v>25</v>
      </c>
      <c r="C46" s="5">
        <v>2245600</v>
      </c>
      <c r="D46" s="3" t="s">
        <v>88</v>
      </c>
      <c r="E46" s="6"/>
      <c r="F46" s="3"/>
      <c r="G46" s="4" t="s">
        <v>15</v>
      </c>
      <c r="H46" s="4" t="s">
        <v>16</v>
      </c>
      <c r="I46" s="4" t="s">
        <v>195</v>
      </c>
    </row>
    <row r="47" spans="1:9" x14ac:dyDescent="0.3">
      <c r="A47" s="4" t="s">
        <v>89</v>
      </c>
      <c r="B47" s="4" t="s">
        <v>13</v>
      </c>
      <c r="C47" s="5">
        <v>1894550</v>
      </c>
      <c r="D47" s="3" t="s">
        <v>90</v>
      </c>
      <c r="E47" s="6"/>
      <c r="F47" s="3"/>
      <c r="G47" s="4" t="s">
        <v>15</v>
      </c>
      <c r="H47" s="4" t="s">
        <v>16</v>
      </c>
      <c r="I47" s="4" t="s">
        <v>195</v>
      </c>
    </row>
    <row r="48" spans="1:9" x14ac:dyDescent="0.3">
      <c r="A48" s="4" t="s">
        <v>91</v>
      </c>
      <c r="B48" s="4" t="s">
        <v>9</v>
      </c>
      <c r="C48" s="5">
        <v>1060000</v>
      </c>
      <c r="D48" s="7" t="s">
        <v>92</v>
      </c>
      <c r="E48" s="6">
        <v>20498769</v>
      </c>
      <c r="F48" s="3"/>
      <c r="G48" s="4" t="s">
        <v>11</v>
      </c>
      <c r="I48" s="4" t="s">
        <v>195</v>
      </c>
    </row>
    <row r="49" spans="1:9" x14ac:dyDescent="0.3">
      <c r="A49" s="4" t="s">
        <v>419</v>
      </c>
      <c r="B49" s="4" t="s">
        <v>25</v>
      </c>
      <c r="C49" s="5">
        <v>4122120</v>
      </c>
      <c r="D49" s="7" t="s">
        <v>420</v>
      </c>
      <c r="E49" s="6" t="s">
        <v>421</v>
      </c>
      <c r="F49" s="3" t="s">
        <v>180</v>
      </c>
      <c r="G49" s="4" t="s">
        <v>15</v>
      </c>
      <c r="H49" s="4" t="s">
        <v>27</v>
      </c>
      <c r="I49" s="4" t="s">
        <v>195</v>
      </c>
    </row>
    <row r="50" spans="1:9" x14ac:dyDescent="0.3">
      <c r="A50" s="4" t="s">
        <v>93</v>
      </c>
      <c r="D50" s="3"/>
      <c r="E50" s="6"/>
      <c r="F50" s="3"/>
    </row>
    <row r="51" spans="1:9" x14ac:dyDescent="0.3">
      <c r="A51" s="4" t="s">
        <v>95</v>
      </c>
      <c r="D51" s="7"/>
      <c r="E51" s="6"/>
      <c r="F51" s="3"/>
    </row>
    <row r="52" spans="1:9" x14ac:dyDescent="0.3">
      <c r="A52" s="4" t="s">
        <v>96</v>
      </c>
      <c r="D52" s="7"/>
      <c r="E52" s="6"/>
      <c r="F52" s="19"/>
    </row>
    <row r="53" spans="1:9" x14ac:dyDescent="0.3">
      <c r="A53" s="4" t="s">
        <v>98</v>
      </c>
      <c r="B53" s="4" t="s">
        <v>9</v>
      </c>
      <c r="C53" s="5">
        <v>643800</v>
      </c>
      <c r="D53" s="3" t="s">
        <v>99</v>
      </c>
      <c r="E53" s="6">
        <v>21228186</v>
      </c>
      <c r="F53" s="3"/>
      <c r="G53" s="4" t="s">
        <v>11</v>
      </c>
      <c r="I53" s="4" t="s">
        <v>195</v>
      </c>
    </row>
    <row r="54" spans="1:9" x14ac:dyDescent="0.3">
      <c r="A54" s="4" t="s">
        <v>100</v>
      </c>
      <c r="B54" s="4" t="s">
        <v>9</v>
      </c>
      <c r="C54" s="5">
        <v>1385800</v>
      </c>
      <c r="D54" s="8" t="s">
        <v>326</v>
      </c>
      <c r="E54" s="9">
        <v>6500537</v>
      </c>
      <c r="F54" s="7"/>
      <c r="G54" s="7" t="s">
        <v>11</v>
      </c>
      <c r="I54" s="4" t="s">
        <v>195</v>
      </c>
    </row>
    <row r="55" spans="1:9" x14ac:dyDescent="0.3">
      <c r="A55" s="4" t="s">
        <v>102</v>
      </c>
      <c r="B55" s="4" t="s">
        <v>9</v>
      </c>
      <c r="C55" s="5">
        <v>2115900</v>
      </c>
      <c r="D55" s="3" t="s">
        <v>103</v>
      </c>
      <c r="E55" s="6">
        <v>4141672</v>
      </c>
      <c r="F55" s="3"/>
      <c r="G55" s="4" t="s">
        <v>11</v>
      </c>
      <c r="I55" s="4" t="s">
        <v>195</v>
      </c>
    </row>
    <row r="56" spans="1:9" x14ac:dyDescent="0.3">
      <c r="A56" s="4" t="s">
        <v>104</v>
      </c>
      <c r="B56" s="4" t="s">
        <v>9</v>
      </c>
      <c r="C56" s="5">
        <v>3294300</v>
      </c>
      <c r="D56" s="3" t="s">
        <v>105</v>
      </c>
      <c r="E56" s="6">
        <v>794996</v>
      </c>
      <c r="F56" s="3"/>
      <c r="G56" s="4" t="s">
        <v>11</v>
      </c>
      <c r="I56" s="4" t="s">
        <v>195</v>
      </c>
    </row>
    <row r="57" spans="1:9" x14ac:dyDescent="0.3">
      <c r="A57" s="4" t="s">
        <v>106</v>
      </c>
      <c r="B57" s="4" t="s">
        <v>13</v>
      </c>
      <c r="C57" s="5">
        <v>3185700</v>
      </c>
      <c r="D57" s="3" t="s">
        <v>107</v>
      </c>
      <c r="E57" s="6">
        <v>128486</v>
      </c>
      <c r="F57" s="3" t="s">
        <v>415</v>
      </c>
      <c r="G57" s="4" t="s">
        <v>15</v>
      </c>
      <c r="H57" s="4" t="s">
        <v>16</v>
      </c>
      <c r="I57" s="4" t="s">
        <v>195</v>
      </c>
    </row>
    <row r="58" spans="1:9" x14ac:dyDescent="0.3">
      <c r="A58" s="4" t="s">
        <v>108</v>
      </c>
      <c r="B58" s="4" t="s">
        <v>13</v>
      </c>
      <c r="C58" s="5">
        <v>1754960</v>
      </c>
      <c r="D58" s="7" t="s">
        <v>135</v>
      </c>
      <c r="E58" s="6">
        <v>23211426</v>
      </c>
      <c r="F58" s="3"/>
      <c r="G58" s="4" t="s">
        <v>15</v>
      </c>
      <c r="H58" s="4" t="s">
        <v>16</v>
      </c>
      <c r="I58" s="4" t="s">
        <v>195</v>
      </c>
    </row>
    <row r="59" spans="1:9" x14ac:dyDescent="0.3">
      <c r="A59" s="4" t="s">
        <v>109</v>
      </c>
      <c r="B59" s="4" t="s">
        <v>13</v>
      </c>
      <c r="C59" s="5">
        <v>1036100</v>
      </c>
      <c r="D59" s="3" t="s">
        <v>110</v>
      </c>
      <c r="E59" s="6"/>
      <c r="F59" s="3"/>
      <c r="G59" s="4" t="s">
        <v>15</v>
      </c>
      <c r="H59" s="4" t="s">
        <v>16</v>
      </c>
      <c r="I59" s="4" t="s">
        <v>195</v>
      </c>
    </row>
    <row r="60" spans="1:9" x14ac:dyDescent="0.3">
      <c r="A60" s="4" t="s">
        <v>111</v>
      </c>
      <c r="B60" s="4" t="s">
        <v>25</v>
      </c>
      <c r="C60" s="5">
        <v>1903200</v>
      </c>
      <c r="D60" s="16" t="s">
        <v>82</v>
      </c>
      <c r="E60" s="15">
        <v>256190</v>
      </c>
      <c r="F60" s="16"/>
      <c r="G60" s="4" t="s">
        <v>15</v>
      </c>
      <c r="H60" s="4" t="s">
        <v>27</v>
      </c>
      <c r="I60" s="4" t="s">
        <v>195</v>
      </c>
    </row>
    <row r="61" spans="1:9" x14ac:dyDescent="0.3">
      <c r="A61" s="4" t="s">
        <v>113</v>
      </c>
      <c r="B61" s="4" t="s">
        <v>25</v>
      </c>
      <c r="C61" s="5">
        <v>5157110</v>
      </c>
      <c r="D61" s="3" t="s">
        <v>92</v>
      </c>
      <c r="E61" s="6" t="s">
        <v>416</v>
      </c>
      <c r="F61" s="16"/>
      <c r="G61" s="4" t="s">
        <v>15</v>
      </c>
      <c r="H61" s="4" t="s">
        <v>27</v>
      </c>
      <c r="I61" s="4" t="s">
        <v>195</v>
      </c>
    </row>
    <row r="62" spans="1:9" s="10" customFormat="1" ht="15" thickBot="1" x14ac:dyDescent="0.35">
      <c r="A62" s="10" t="s">
        <v>114</v>
      </c>
      <c r="B62" s="4"/>
      <c r="C62" s="11">
        <f>SUM(C2:C61)</f>
        <v>104095265</v>
      </c>
      <c r="D62" s="4"/>
    </row>
    <row r="63" spans="1:9" ht="15" thickTop="1" x14ac:dyDescent="0.3"/>
    <row r="68" spans="4:4" x14ac:dyDescent="0.3">
      <c r="D68" s="12"/>
    </row>
  </sheetData>
  <conditionalFormatting sqref="F14:F15 I20:I27">
    <cfRule type="containsText" dxfId="353" priority="67" operator="containsText" text="No">
      <formula>NOT(ISERROR(SEARCH("No",F14)))</formula>
    </cfRule>
    <cfRule type="containsText" dxfId="352" priority="68" operator="containsText" text="Yes">
      <formula>NOT(ISERROR(SEARCH("Yes",F14)))</formula>
    </cfRule>
  </conditionalFormatting>
  <conditionalFormatting sqref="G1">
    <cfRule type="containsText" dxfId="351" priority="89" operator="containsText" text="No">
      <formula>NOT(ISERROR(SEARCH("No",G1)))</formula>
    </cfRule>
    <cfRule type="containsText" dxfId="350" priority="90" operator="containsText" text="Yes">
      <formula>NOT(ISERROR(SEARCH("Yes",G1)))</formula>
    </cfRule>
  </conditionalFormatting>
  <conditionalFormatting sqref="G16 G19">
    <cfRule type="containsText" dxfId="349" priority="79" operator="containsText" text="No">
      <formula>NOT(ISERROR(SEARCH("No",G16)))</formula>
    </cfRule>
    <cfRule type="containsText" dxfId="348" priority="80" operator="containsText" text="Yes">
      <formula>NOT(ISERROR(SEARCH("Yes",G16)))</formula>
    </cfRule>
  </conditionalFormatting>
  <conditionalFormatting sqref="G29">
    <cfRule type="containsText" dxfId="347" priority="77" operator="containsText" text="No">
      <formula>NOT(ISERROR(SEARCH("No",G29)))</formula>
    </cfRule>
    <cfRule type="containsText" dxfId="346" priority="78" operator="containsText" text="Yes">
      <formula>NOT(ISERROR(SEARCH("Yes",G29)))</formula>
    </cfRule>
  </conditionalFormatting>
  <conditionalFormatting sqref="G40">
    <cfRule type="containsText" dxfId="345" priority="93" operator="containsText" text="No">
      <formula>NOT(ISERROR(SEARCH("No",G40)))</formula>
    </cfRule>
    <cfRule type="containsText" dxfId="344" priority="94" operator="containsText" text="Yes">
      <formula>NOT(ISERROR(SEARCH("Yes",G40)))</formula>
    </cfRule>
  </conditionalFormatting>
  <conditionalFormatting sqref="G43">
    <cfRule type="containsText" dxfId="343" priority="87" operator="containsText" text="No">
      <formula>NOT(ISERROR(SEARCH("No",G43)))</formula>
    </cfRule>
    <cfRule type="containsText" dxfId="342" priority="88" operator="containsText" text="Yes">
      <formula>NOT(ISERROR(SEARCH("Yes",G43)))</formula>
    </cfRule>
  </conditionalFormatting>
  <conditionalFormatting sqref="G53">
    <cfRule type="containsText" dxfId="341" priority="85" operator="containsText" text="No">
      <formula>NOT(ISERROR(SEARCH("No",G53)))</formula>
    </cfRule>
    <cfRule type="containsText" dxfId="340" priority="86" operator="containsText" text="Yes">
      <formula>NOT(ISERROR(SEARCH("Yes",G53)))</formula>
    </cfRule>
  </conditionalFormatting>
  <conditionalFormatting sqref="G62:G1048576">
    <cfRule type="containsText" dxfId="339" priority="91" operator="containsText" text="No">
      <formula>NOT(ISERROR(SEARCH("No",G62)))</formula>
    </cfRule>
    <cfRule type="containsText" dxfId="338" priority="92" operator="containsText" text="Yes">
      <formula>NOT(ISERROR(SEARCH("Yes",G62)))</formula>
    </cfRule>
  </conditionalFormatting>
  <conditionalFormatting sqref="G2:H7">
    <cfRule type="containsText" dxfId="337" priority="1" operator="containsText" text="No">
      <formula>NOT(ISERROR(SEARCH("No",G2)))</formula>
    </cfRule>
    <cfRule type="containsText" dxfId="336" priority="2" operator="containsText" text="Yes">
      <formula>NOT(ISERROR(SEARCH("Yes",G2)))</formula>
    </cfRule>
  </conditionalFormatting>
  <conditionalFormatting sqref="G20:H28">
    <cfRule type="containsText" dxfId="335" priority="19" operator="containsText" text="No">
      <formula>NOT(ISERROR(SEARCH("No",G20)))</formula>
    </cfRule>
    <cfRule type="containsText" dxfId="334" priority="20" operator="containsText" text="Yes">
      <formula>NOT(ISERROR(SEARCH("Yes",G20)))</formula>
    </cfRule>
  </conditionalFormatting>
  <conditionalFormatting sqref="G30:H39">
    <cfRule type="containsText" dxfId="333" priority="9" operator="containsText" text="No">
      <formula>NOT(ISERROR(SEARCH("No",G30)))</formula>
    </cfRule>
    <cfRule type="containsText" dxfId="332" priority="10" operator="containsText" text="Yes">
      <formula>NOT(ISERROR(SEARCH("Yes",G30)))</formula>
    </cfRule>
  </conditionalFormatting>
  <conditionalFormatting sqref="G41:H42">
    <cfRule type="containsText" dxfId="331" priority="21" operator="containsText" text="No">
      <formula>NOT(ISERROR(SEARCH("No",G41)))</formula>
    </cfRule>
    <cfRule type="containsText" dxfId="330" priority="22" operator="containsText" text="Yes">
      <formula>NOT(ISERROR(SEARCH("Yes",G41)))</formula>
    </cfRule>
  </conditionalFormatting>
  <conditionalFormatting sqref="G44:H52">
    <cfRule type="containsText" dxfId="329" priority="5" operator="containsText" text="No">
      <formula>NOT(ISERROR(SEARCH("No",G44)))</formula>
    </cfRule>
    <cfRule type="containsText" dxfId="328" priority="6" operator="containsText" text="Yes">
      <formula>NOT(ISERROR(SEARCH("Yes",G44)))</formula>
    </cfRule>
  </conditionalFormatting>
  <conditionalFormatting sqref="G54:H61">
    <cfRule type="containsText" dxfId="327" priority="45" operator="containsText" text="No">
      <formula>NOT(ISERROR(SEARCH("No",G54)))</formula>
    </cfRule>
    <cfRule type="containsText" dxfId="326" priority="46" operator="containsText" text="Yes">
      <formula>NOT(ISERROR(SEARCH("Yes",G54)))</formula>
    </cfRule>
  </conditionalFormatting>
  <conditionalFormatting sqref="G8:I15">
    <cfRule type="containsText" dxfId="325" priority="29" operator="containsText" text="No">
      <formula>NOT(ISERROR(SEARCH("No",G8)))</formula>
    </cfRule>
    <cfRule type="containsText" dxfId="324" priority="30" operator="containsText" text="Yes">
      <formula>NOT(ISERROR(SEARCH("Yes",G8)))</formula>
    </cfRule>
  </conditionalFormatting>
  <conditionalFormatting sqref="G17:I18">
    <cfRule type="containsText" dxfId="323" priority="15" operator="containsText" text="No">
      <formula>NOT(ISERROR(SEARCH("No",G17)))</formula>
    </cfRule>
    <cfRule type="containsText" dxfId="322" priority="16" operator="containsText" text="Yes">
      <formula>NOT(ISERROR(SEARCH("Yes",G17)))</formula>
    </cfRule>
  </conditionalFormatting>
  <conditionalFormatting sqref="H28">
    <cfRule type="containsText" dxfId="321" priority="81" operator="containsText" text="No">
      <formula>NOT(ISERROR(SEARCH("No",H28)))</formula>
    </cfRule>
    <cfRule type="containsText" dxfId="320" priority="82" operator="containsText" text="Yes">
      <formula>NOT(ISERROR(SEARCH("Yes",H28)))</formula>
    </cfRule>
  </conditionalFormatting>
  <conditionalFormatting sqref="I20">
    <cfRule type="containsText" dxfId="319" priority="83" operator="containsText" text="No">
      <formula>NOT(ISERROR(SEARCH("No",I20)))</formula>
    </cfRule>
    <cfRule type="containsText" dxfId="318" priority="84" operator="containsText" text="Yes">
      <formula>NOT(ISERROR(SEARCH("Yes",I20)))</formula>
    </cfRule>
  </conditionalFormatting>
  <conditionalFormatting sqref="I30">
    <cfRule type="containsText" dxfId="317" priority="75" operator="containsText" text="No">
      <formula>NOT(ISERROR(SEARCH("No",I30)))</formula>
    </cfRule>
    <cfRule type="containsText" dxfId="316" priority="76" operator="containsText" text="Yes">
      <formula>NOT(ISERROR(SEARCH("Yes",I30)))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23616-29DF-4234-AE67-E3A76109417A}">
  <dimension ref="A1:I68"/>
  <sheetViews>
    <sheetView workbookViewId="0">
      <selection activeCell="E7" sqref="E7"/>
    </sheetView>
  </sheetViews>
  <sheetFormatPr defaultColWidth="10" defaultRowHeight="14.4" x14ac:dyDescent="0.3"/>
  <cols>
    <col min="1" max="1" width="17.5546875" style="4" bestFit="1" customWidth="1"/>
    <col min="2" max="2" width="12.33203125" style="4" bestFit="1" customWidth="1"/>
    <col min="3" max="3" width="18.5546875" style="5" bestFit="1" customWidth="1"/>
    <col min="4" max="4" width="23.88671875" style="4" bestFit="1" customWidth="1"/>
    <col min="5" max="5" width="16.6640625" style="4" bestFit="1" customWidth="1"/>
    <col min="6" max="6" width="14.6640625" style="4" bestFit="1" customWidth="1"/>
    <col min="7" max="7" width="14.6640625" style="4" customWidth="1"/>
    <col min="8" max="8" width="12.109375" style="4" bestFit="1" customWidth="1"/>
    <col min="9" max="9" width="4.33203125" style="4" customWidth="1"/>
    <col min="10" max="16384" width="10" style="4"/>
  </cols>
  <sheetData>
    <row r="1" spans="1:9" s="1" customForma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s="1" customFormat="1" x14ac:dyDescent="0.3">
      <c r="A2" s="3" t="s">
        <v>8</v>
      </c>
      <c r="B2" s="4" t="s">
        <v>9</v>
      </c>
      <c r="C2" s="5"/>
      <c r="D2" s="3" t="s">
        <v>10</v>
      </c>
      <c r="E2" s="6"/>
      <c r="F2" s="3"/>
      <c r="G2" s="4"/>
      <c r="H2" s="4"/>
      <c r="I2" s="3"/>
    </row>
    <row r="3" spans="1:9" x14ac:dyDescent="0.3">
      <c r="A3" s="4" t="s">
        <v>12</v>
      </c>
      <c r="D3" s="3"/>
      <c r="E3" s="6"/>
      <c r="F3" s="16"/>
    </row>
    <row r="4" spans="1:9" x14ac:dyDescent="0.3">
      <c r="A4" s="4" t="s">
        <v>17</v>
      </c>
      <c r="D4" s="3"/>
      <c r="E4" s="6"/>
      <c r="F4" s="3"/>
    </row>
    <row r="5" spans="1:9" x14ac:dyDescent="0.3">
      <c r="A5" s="4" t="s">
        <v>18</v>
      </c>
      <c r="B5" s="4" t="s">
        <v>13</v>
      </c>
      <c r="D5" s="3" t="s">
        <v>19</v>
      </c>
      <c r="E5" s="6"/>
      <c r="F5" s="3"/>
    </row>
    <row r="6" spans="1:9" x14ac:dyDescent="0.3">
      <c r="A6" s="4" t="s">
        <v>20</v>
      </c>
      <c r="B6" s="4" t="s">
        <v>13</v>
      </c>
      <c r="D6" s="3" t="s">
        <v>21</v>
      </c>
      <c r="E6" s="6"/>
      <c r="F6" s="3"/>
    </row>
    <row r="7" spans="1:9" x14ac:dyDescent="0.3">
      <c r="A7" s="4" t="s">
        <v>22</v>
      </c>
      <c r="B7" s="4" t="s">
        <v>13</v>
      </c>
      <c r="D7" s="3" t="s">
        <v>23</v>
      </c>
      <c r="E7" s="6"/>
      <c r="F7" s="3"/>
    </row>
    <row r="8" spans="1:9" x14ac:dyDescent="0.3">
      <c r="A8" s="4" t="s">
        <v>24</v>
      </c>
      <c r="B8" s="4" t="s">
        <v>25</v>
      </c>
      <c r="D8" s="16" t="s">
        <v>26</v>
      </c>
      <c r="E8" s="6"/>
      <c r="F8" s="3"/>
    </row>
    <row r="9" spans="1:9" x14ac:dyDescent="0.3">
      <c r="A9" s="4" t="s">
        <v>28</v>
      </c>
      <c r="B9" s="4" t="s">
        <v>13</v>
      </c>
      <c r="D9" s="3" t="s">
        <v>29</v>
      </c>
      <c r="E9" s="6"/>
      <c r="F9" s="3"/>
    </row>
    <row r="10" spans="1:9" x14ac:dyDescent="0.3">
      <c r="A10" s="4" t="s">
        <v>30</v>
      </c>
      <c r="B10" s="4" t="s">
        <v>25</v>
      </c>
      <c r="D10" s="3" t="s">
        <v>136</v>
      </c>
      <c r="E10" s="6"/>
      <c r="F10" s="16"/>
    </row>
    <row r="11" spans="1:9" x14ac:dyDescent="0.3">
      <c r="A11" s="4" t="s">
        <v>31</v>
      </c>
      <c r="B11" s="4" t="s">
        <v>9</v>
      </c>
      <c r="D11" s="3" t="s">
        <v>152</v>
      </c>
      <c r="E11" s="6"/>
      <c r="F11" s="3"/>
    </row>
    <row r="12" spans="1:9" x14ac:dyDescent="0.3">
      <c r="A12" s="4" t="s">
        <v>32</v>
      </c>
      <c r="B12" s="4" t="s">
        <v>9</v>
      </c>
      <c r="D12" s="16" t="s">
        <v>137</v>
      </c>
      <c r="E12" s="6"/>
      <c r="F12" s="3"/>
    </row>
    <row r="13" spans="1:9" x14ac:dyDescent="0.3">
      <c r="A13" s="4" t="s">
        <v>33</v>
      </c>
      <c r="B13" s="4" t="s">
        <v>13</v>
      </c>
      <c r="D13" s="3" t="s">
        <v>323</v>
      </c>
      <c r="E13" s="6"/>
      <c r="F13" s="3"/>
    </row>
    <row r="14" spans="1:9" x14ac:dyDescent="0.3">
      <c r="A14" s="4" t="s">
        <v>35</v>
      </c>
      <c r="B14" s="4" t="s">
        <v>13</v>
      </c>
      <c r="D14" s="3" t="s">
        <v>408</v>
      </c>
      <c r="E14" s="6"/>
    </row>
    <row r="15" spans="1:9" x14ac:dyDescent="0.3">
      <c r="A15" s="4" t="s">
        <v>37</v>
      </c>
      <c r="B15" s="4" t="s">
        <v>13</v>
      </c>
      <c r="D15" s="3" t="s">
        <v>38</v>
      </c>
      <c r="E15" s="6"/>
    </row>
    <row r="16" spans="1:9" x14ac:dyDescent="0.3">
      <c r="A16" s="4" t="s">
        <v>39</v>
      </c>
      <c r="D16" s="3"/>
      <c r="E16" s="6"/>
      <c r="F16" s="3"/>
    </row>
    <row r="17" spans="1:8" x14ac:dyDescent="0.3">
      <c r="A17" s="4" t="s">
        <v>40</v>
      </c>
      <c r="B17" s="4" t="s">
        <v>13</v>
      </c>
      <c r="D17" s="3" t="s">
        <v>41</v>
      </c>
      <c r="E17" s="6"/>
      <c r="F17" s="3"/>
    </row>
    <row r="18" spans="1:8" x14ac:dyDescent="0.3">
      <c r="A18" s="4" t="s">
        <v>42</v>
      </c>
      <c r="B18" s="4" t="s">
        <v>13</v>
      </c>
      <c r="D18" s="3" t="s">
        <v>128</v>
      </c>
      <c r="E18" s="6"/>
      <c r="F18" s="3"/>
    </row>
    <row r="19" spans="1:8" x14ac:dyDescent="0.3">
      <c r="A19" s="4" t="s">
        <v>43</v>
      </c>
      <c r="D19" s="3"/>
      <c r="E19" s="6"/>
      <c r="F19" s="3"/>
    </row>
    <row r="20" spans="1:8" x14ac:dyDescent="0.3">
      <c r="A20" s="4" t="s">
        <v>44</v>
      </c>
      <c r="B20" s="4" t="s">
        <v>25</v>
      </c>
      <c r="D20" s="3" t="s">
        <v>45</v>
      </c>
      <c r="E20" s="6"/>
      <c r="F20" s="3"/>
    </row>
    <row r="21" spans="1:8" x14ac:dyDescent="0.3">
      <c r="A21" s="4" t="s">
        <v>46</v>
      </c>
      <c r="B21" s="4" t="s">
        <v>25</v>
      </c>
      <c r="D21" s="3" t="s">
        <v>320</v>
      </c>
      <c r="E21" s="6"/>
      <c r="F21" s="3"/>
    </row>
    <row r="22" spans="1:8" x14ac:dyDescent="0.3">
      <c r="A22" s="4" t="s">
        <v>49</v>
      </c>
      <c r="B22" s="4" t="s">
        <v>13</v>
      </c>
      <c r="D22" s="3" t="s">
        <v>50</v>
      </c>
      <c r="E22" s="6"/>
      <c r="F22" s="3"/>
    </row>
    <row r="23" spans="1:8" x14ac:dyDescent="0.3">
      <c r="A23" s="4" t="s">
        <v>51</v>
      </c>
      <c r="B23" s="4" t="s">
        <v>13</v>
      </c>
      <c r="D23" s="5" t="s">
        <v>384</v>
      </c>
      <c r="E23" s="6"/>
      <c r="F23" s="3"/>
    </row>
    <row r="24" spans="1:8" x14ac:dyDescent="0.3">
      <c r="A24" s="4" t="s">
        <v>52</v>
      </c>
      <c r="B24" s="4" t="s">
        <v>13</v>
      </c>
      <c r="D24" s="3" t="s">
        <v>294</v>
      </c>
      <c r="E24" s="6"/>
      <c r="F24" s="3"/>
    </row>
    <row r="25" spans="1:8" x14ac:dyDescent="0.3">
      <c r="A25" s="4" t="s">
        <v>53</v>
      </c>
      <c r="B25" s="4" t="s">
        <v>9</v>
      </c>
      <c r="D25" s="3" t="s">
        <v>54</v>
      </c>
      <c r="E25" s="6"/>
      <c r="F25" s="3"/>
    </row>
    <row r="26" spans="1:8" x14ac:dyDescent="0.3">
      <c r="A26" s="4" t="s">
        <v>55</v>
      </c>
      <c r="B26" s="4" t="s">
        <v>13</v>
      </c>
      <c r="D26" s="3" t="s">
        <v>56</v>
      </c>
      <c r="E26" s="6"/>
      <c r="F26" s="3"/>
    </row>
    <row r="27" spans="1:8" x14ac:dyDescent="0.3">
      <c r="A27" s="4" t="s">
        <v>57</v>
      </c>
      <c r="B27" s="4" t="s">
        <v>13</v>
      </c>
      <c r="D27" s="3" t="s">
        <v>58</v>
      </c>
      <c r="E27" s="6"/>
      <c r="F27" s="3"/>
    </row>
    <row r="28" spans="1:8" x14ac:dyDescent="0.3">
      <c r="A28" s="4" t="s">
        <v>59</v>
      </c>
      <c r="B28" s="4" t="s">
        <v>25</v>
      </c>
      <c r="D28" s="3" t="s">
        <v>414</v>
      </c>
      <c r="E28" s="6"/>
      <c r="F28" s="3"/>
      <c r="G28" s="7"/>
      <c r="H28" s="5"/>
    </row>
    <row r="29" spans="1:8" x14ac:dyDescent="0.3">
      <c r="A29" s="4" t="s">
        <v>60</v>
      </c>
      <c r="D29" s="3"/>
      <c r="E29" s="6"/>
      <c r="F29" s="3"/>
    </row>
    <row r="30" spans="1:8" x14ac:dyDescent="0.3">
      <c r="A30" s="4" t="s">
        <v>61</v>
      </c>
      <c r="B30" s="4" t="s">
        <v>13</v>
      </c>
      <c r="D30" s="3" t="s">
        <v>243</v>
      </c>
      <c r="E30" s="6"/>
      <c r="F30" s="3"/>
    </row>
    <row r="31" spans="1:8" x14ac:dyDescent="0.3">
      <c r="A31" s="4" t="s">
        <v>63</v>
      </c>
      <c r="D31" s="3"/>
      <c r="E31" s="6"/>
      <c r="F31" s="3"/>
    </row>
    <row r="32" spans="1:8" x14ac:dyDescent="0.3">
      <c r="A32" s="4" t="s">
        <v>64</v>
      </c>
      <c r="D32" s="3"/>
      <c r="E32" s="6"/>
      <c r="F32" s="3"/>
    </row>
    <row r="33" spans="1:6" x14ac:dyDescent="0.3">
      <c r="A33" s="4" t="s">
        <v>65</v>
      </c>
      <c r="B33" s="4" t="s">
        <v>13</v>
      </c>
      <c r="D33" s="7" t="s">
        <v>66</v>
      </c>
      <c r="E33" s="6"/>
      <c r="F33" s="3"/>
    </row>
    <row r="34" spans="1:6" x14ac:dyDescent="0.3">
      <c r="A34" s="4" t="s">
        <v>67</v>
      </c>
      <c r="B34" s="4" t="s">
        <v>13</v>
      </c>
      <c r="D34" s="3" t="s">
        <v>68</v>
      </c>
      <c r="E34" s="6"/>
      <c r="F34" s="3"/>
    </row>
    <row r="35" spans="1:6" x14ac:dyDescent="0.3">
      <c r="A35" s="4" t="s">
        <v>69</v>
      </c>
      <c r="B35" s="4" t="s">
        <v>25</v>
      </c>
      <c r="D35" s="3" t="s">
        <v>70</v>
      </c>
      <c r="E35" s="6"/>
      <c r="F35" s="3"/>
    </row>
    <row r="36" spans="1:6" x14ac:dyDescent="0.3">
      <c r="A36" s="4" t="s">
        <v>71</v>
      </c>
      <c r="B36" s="4" t="s">
        <v>25</v>
      </c>
      <c r="D36" s="7" t="s">
        <v>72</v>
      </c>
      <c r="E36" s="6"/>
      <c r="F36" s="3"/>
    </row>
    <row r="37" spans="1:6" x14ac:dyDescent="0.3">
      <c r="A37" s="4" t="s">
        <v>73</v>
      </c>
      <c r="B37" s="4" t="s">
        <v>13</v>
      </c>
      <c r="D37" s="3" t="s">
        <v>74</v>
      </c>
      <c r="E37" s="6"/>
      <c r="F37" s="3"/>
    </row>
    <row r="38" spans="1:6" x14ac:dyDescent="0.3">
      <c r="A38" s="4" t="s">
        <v>75</v>
      </c>
      <c r="D38" s="3"/>
      <c r="E38" s="6"/>
      <c r="F38" s="3"/>
    </row>
    <row r="39" spans="1:6" x14ac:dyDescent="0.3">
      <c r="A39" s="4" t="s">
        <v>76</v>
      </c>
      <c r="B39" s="4" t="s">
        <v>25</v>
      </c>
      <c r="D39" s="3" t="s">
        <v>77</v>
      </c>
      <c r="E39" s="6"/>
      <c r="F39" s="3"/>
    </row>
    <row r="40" spans="1:6" x14ac:dyDescent="0.3">
      <c r="A40" s="4" t="s">
        <v>78</v>
      </c>
      <c r="D40" s="3"/>
      <c r="E40" s="20"/>
      <c r="F40" s="3"/>
    </row>
    <row r="41" spans="1:6" x14ac:dyDescent="0.3">
      <c r="A41" s="4" t="s">
        <v>79</v>
      </c>
      <c r="B41" s="4" t="s">
        <v>9</v>
      </c>
      <c r="D41" s="16" t="s">
        <v>393</v>
      </c>
      <c r="E41" s="6"/>
      <c r="F41" s="3"/>
    </row>
    <row r="42" spans="1:6" x14ac:dyDescent="0.3">
      <c r="A42" s="4" t="s">
        <v>80</v>
      </c>
      <c r="B42" s="4" t="s">
        <v>13</v>
      </c>
      <c r="D42" s="7" t="s">
        <v>115</v>
      </c>
      <c r="E42" s="6"/>
      <c r="F42" s="3"/>
    </row>
    <row r="43" spans="1:6" x14ac:dyDescent="0.3">
      <c r="A43" s="4" t="s">
        <v>81</v>
      </c>
      <c r="B43" s="4" t="s">
        <v>9</v>
      </c>
      <c r="D43" s="3" t="s">
        <v>82</v>
      </c>
      <c r="E43" s="6"/>
      <c r="F43" s="3"/>
    </row>
    <row r="44" spans="1:6" x14ac:dyDescent="0.3">
      <c r="A44" s="4" t="s">
        <v>83</v>
      </c>
      <c r="B44" s="4" t="s">
        <v>13</v>
      </c>
      <c r="D44" s="16" t="s">
        <v>313</v>
      </c>
      <c r="E44" s="6"/>
      <c r="F44" s="3"/>
    </row>
    <row r="45" spans="1:6" x14ac:dyDescent="0.3">
      <c r="A45" s="4" t="s">
        <v>85</v>
      </c>
      <c r="B45" s="4" t="s">
        <v>13</v>
      </c>
      <c r="D45" s="3" t="s">
        <v>86</v>
      </c>
      <c r="E45" s="6"/>
      <c r="F45" s="3"/>
    </row>
    <row r="46" spans="1:6" x14ac:dyDescent="0.3">
      <c r="A46" s="4" t="s">
        <v>87</v>
      </c>
      <c r="B46" s="4" t="s">
        <v>25</v>
      </c>
      <c r="D46" s="3" t="s">
        <v>88</v>
      </c>
      <c r="E46" s="6"/>
      <c r="F46" s="3"/>
    </row>
    <row r="47" spans="1:6" x14ac:dyDescent="0.3">
      <c r="A47" s="4" t="s">
        <v>89</v>
      </c>
      <c r="B47" s="4" t="s">
        <v>13</v>
      </c>
      <c r="D47" s="3" t="s">
        <v>90</v>
      </c>
      <c r="E47" s="6"/>
      <c r="F47" s="3"/>
    </row>
    <row r="48" spans="1:6" x14ac:dyDescent="0.3">
      <c r="A48" s="4" t="s">
        <v>91</v>
      </c>
      <c r="B48" s="4" t="s">
        <v>9</v>
      </c>
      <c r="D48" s="7" t="s">
        <v>92</v>
      </c>
      <c r="E48" s="6"/>
      <c r="F48" s="3"/>
    </row>
    <row r="49" spans="1:7" x14ac:dyDescent="0.3">
      <c r="A49" s="4" t="s">
        <v>419</v>
      </c>
      <c r="B49" s="4" t="s">
        <v>25</v>
      </c>
      <c r="D49" s="7" t="s">
        <v>420</v>
      </c>
      <c r="E49" s="6"/>
      <c r="F49" s="3"/>
    </row>
    <row r="50" spans="1:7" x14ac:dyDescent="0.3">
      <c r="A50" s="4" t="s">
        <v>93</v>
      </c>
      <c r="D50" s="3"/>
      <c r="E50" s="6"/>
      <c r="F50" s="3"/>
    </row>
    <row r="51" spans="1:7" x14ac:dyDescent="0.3">
      <c r="A51" s="4" t="s">
        <v>95</v>
      </c>
      <c r="D51" s="7"/>
      <c r="E51" s="6"/>
      <c r="F51" s="3"/>
    </row>
    <row r="52" spans="1:7" x14ac:dyDescent="0.3">
      <c r="A52" s="4" t="s">
        <v>96</v>
      </c>
      <c r="D52" s="7"/>
      <c r="E52" s="6"/>
      <c r="F52" s="19"/>
    </row>
    <row r="53" spans="1:7" x14ac:dyDescent="0.3">
      <c r="A53" s="4" t="s">
        <v>98</v>
      </c>
      <c r="B53" s="4" t="s">
        <v>9</v>
      </c>
      <c r="D53" s="3" t="s">
        <v>99</v>
      </c>
      <c r="E53" s="6"/>
      <c r="F53" s="3"/>
    </row>
    <row r="54" spans="1:7" x14ac:dyDescent="0.3">
      <c r="A54" s="4" t="s">
        <v>100</v>
      </c>
      <c r="B54" s="4" t="s">
        <v>9</v>
      </c>
      <c r="D54" s="8" t="s">
        <v>326</v>
      </c>
      <c r="E54" s="9"/>
      <c r="F54" s="7"/>
      <c r="G54" s="7"/>
    </row>
    <row r="55" spans="1:7" x14ac:dyDescent="0.3">
      <c r="A55" s="4" t="s">
        <v>102</v>
      </c>
      <c r="B55" s="4" t="s">
        <v>9</v>
      </c>
      <c r="D55" s="3" t="s">
        <v>103</v>
      </c>
      <c r="E55" s="6"/>
      <c r="F55" s="3"/>
    </row>
    <row r="56" spans="1:7" x14ac:dyDescent="0.3">
      <c r="A56" s="4" t="s">
        <v>104</v>
      </c>
      <c r="B56" s="4" t="s">
        <v>9</v>
      </c>
      <c r="D56" s="3" t="s">
        <v>105</v>
      </c>
      <c r="E56" s="6"/>
      <c r="F56" s="3"/>
    </row>
    <row r="57" spans="1:7" x14ac:dyDescent="0.3">
      <c r="A57" s="4" t="s">
        <v>106</v>
      </c>
      <c r="B57" s="4" t="s">
        <v>13</v>
      </c>
      <c r="D57" s="3" t="s">
        <v>107</v>
      </c>
      <c r="E57" s="6"/>
      <c r="F57" s="3"/>
    </row>
    <row r="58" spans="1:7" x14ac:dyDescent="0.3">
      <c r="A58" s="4" t="s">
        <v>108</v>
      </c>
      <c r="B58" s="4" t="s">
        <v>13</v>
      </c>
      <c r="D58" s="7" t="s">
        <v>135</v>
      </c>
      <c r="E58" s="6"/>
      <c r="F58" s="3"/>
    </row>
    <row r="59" spans="1:7" x14ac:dyDescent="0.3">
      <c r="A59" s="4" t="s">
        <v>109</v>
      </c>
      <c r="B59" s="4" t="s">
        <v>13</v>
      </c>
      <c r="D59" s="3" t="s">
        <v>110</v>
      </c>
      <c r="E59" s="6"/>
      <c r="F59" s="3"/>
    </row>
    <row r="60" spans="1:7" x14ac:dyDescent="0.3">
      <c r="A60" s="4" t="s">
        <v>111</v>
      </c>
      <c r="B60" s="4" t="s">
        <v>25</v>
      </c>
      <c r="D60" s="16" t="s">
        <v>82</v>
      </c>
      <c r="E60" s="15"/>
      <c r="F60" s="16"/>
    </row>
    <row r="61" spans="1:7" x14ac:dyDescent="0.3">
      <c r="A61" s="4" t="s">
        <v>113</v>
      </c>
      <c r="B61" s="4" t="s">
        <v>25</v>
      </c>
      <c r="D61" s="3" t="s">
        <v>92</v>
      </c>
      <c r="E61" s="6"/>
      <c r="F61" s="16"/>
    </row>
    <row r="62" spans="1:7" s="10" customFormat="1" ht="15" thickBot="1" x14ac:dyDescent="0.35">
      <c r="A62" s="10" t="s">
        <v>114</v>
      </c>
      <c r="B62" s="4"/>
      <c r="C62" s="11">
        <f>SUM(C2:C61)</f>
        <v>0</v>
      </c>
      <c r="D62" s="4"/>
    </row>
    <row r="63" spans="1:7" ht="15" thickTop="1" x14ac:dyDescent="0.3"/>
    <row r="68" spans="4:4" x14ac:dyDescent="0.3">
      <c r="D68" s="12"/>
    </row>
  </sheetData>
  <conditionalFormatting sqref="F14:F15 I20:I27">
    <cfRule type="containsText" dxfId="315" priority="65" operator="containsText" text="No">
      <formula>NOT(ISERROR(SEARCH("No",F14)))</formula>
    </cfRule>
    <cfRule type="containsText" dxfId="314" priority="66" operator="containsText" text="Yes">
      <formula>NOT(ISERROR(SEARCH("Yes",F14)))</formula>
    </cfRule>
  </conditionalFormatting>
  <conditionalFormatting sqref="G1">
    <cfRule type="containsText" dxfId="313" priority="87" operator="containsText" text="No">
      <formula>NOT(ISERROR(SEARCH("No",G1)))</formula>
    </cfRule>
    <cfRule type="containsText" dxfId="312" priority="88" operator="containsText" text="Yes">
      <formula>NOT(ISERROR(SEARCH("Yes",G1)))</formula>
    </cfRule>
  </conditionalFormatting>
  <conditionalFormatting sqref="G16 G19">
    <cfRule type="containsText" dxfId="311" priority="77" operator="containsText" text="No">
      <formula>NOT(ISERROR(SEARCH("No",G16)))</formula>
    </cfRule>
    <cfRule type="containsText" dxfId="310" priority="78" operator="containsText" text="Yes">
      <formula>NOT(ISERROR(SEARCH("Yes",G16)))</formula>
    </cfRule>
  </conditionalFormatting>
  <conditionalFormatting sqref="G29">
    <cfRule type="containsText" dxfId="309" priority="75" operator="containsText" text="No">
      <formula>NOT(ISERROR(SEARCH("No",G29)))</formula>
    </cfRule>
    <cfRule type="containsText" dxfId="308" priority="76" operator="containsText" text="Yes">
      <formula>NOT(ISERROR(SEARCH("Yes",G29)))</formula>
    </cfRule>
  </conditionalFormatting>
  <conditionalFormatting sqref="G40">
    <cfRule type="containsText" dxfId="307" priority="91" operator="containsText" text="No">
      <formula>NOT(ISERROR(SEARCH("No",G40)))</formula>
    </cfRule>
    <cfRule type="containsText" dxfId="306" priority="92" operator="containsText" text="Yes">
      <formula>NOT(ISERROR(SEARCH("Yes",G40)))</formula>
    </cfRule>
  </conditionalFormatting>
  <conditionalFormatting sqref="G43">
    <cfRule type="containsText" dxfId="305" priority="85" operator="containsText" text="No">
      <formula>NOT(ISERROR(SEARCH("No",G43)))</formula>
    </cfRule>
    <cfRule type="containsText" dxfId="304" priority="86" operator="containsText" text="Yes">
      <formula>NOT(ISERROR(SEARCH("Yes",G43)))</formula>
    </cfRule>
  </conditionalFormatting>
  <conditionalFormatting sqref="G53">
    <cfRule type="containsText" dxfId="303" priority="83" operator="containsText" text="No">
      <formula>NOT(ISERROR(SEARCH("No",G53)))</formula>
    </cfRule>
    <cfRule type="containsText" dxfId="302" priority="84" operator="containsText" text="Yes">
      <formula>NOT(ISERROR(SEARCH("Yes",G53)))</formula>
    </cfRule>
  </conditionalFormatting>
  <conditionalFormatting sqref="G62:G1048576">
    <cfRule type="containsText" dxfId="301" priority="89" operator="containsText" text="No">
      <formula>NOT(ISERROR(SEARCH("No",G62)))</formula>
    </cfRule>
    <cfRule type="containsText" dxfId="300" priority="90" operator="containsText" text="Yes">
      <formula>NOT(ISERROR(SEARCH("Yes",G62)))</formula>
    </cfRule>
  </conditionalFormatting>
  <conditionalFormatting sqref="G2:H7">
    <cfRule type="containsText" dxfId="299" priority="1" operator="containsText" text="No">
      <formula>NOT(ISERROR(SEARCH("No",G2)))</formula>
    </cfRule>
    <cfRule type="containsText" dxfId="298" priority="2" operator="containsText" text="Yes">
      <formula>NOT(ISERROR(SEARCH("Yes",G2)))</formula>
    </cfRule>
  </conditionalFormatting>
  <conditionalFormatting sqref="G20:H28">
    <cfRule type="containsText" dxfId="297" priority="19" operator="containsText" text="No">
      <formula>NOT(ISERROR(SEARCH("No",G20)))</formula>
    </cfRule>
    <cfRule type="containsText" dxfId="296" priority="20" operator="containsText" text="Yes">
      <formula>NOT(ISERROR(SEARCH("Yes",G20)))</formula>
    </cfRule>
  </conditionalFormatting>
  <conditionalFormatting sqref="G30:H39">
    <cfRule type="containsText" dxfId="295" priority="9" operator="containsText" text="No">
      <formula>NOT(ISERROR(SEARCH("No",G30)))</formula>
    </cfRule>
    <cfRule type="containsText" dxfId="294" priority="10" operator="containsText" text="Yes">
      <formula>NOT(ISERROR(SEARCH("Yes",G30)))</formula>
    </cfRule>
  </conditionalFormatting>
  <conditionalFormatting sqref="G41:H42">
    <cfRule type="containsText" dxfId="293" priority="21" operator="containsText" text="No">
      <formula>NOT(ISERROR(SEARCH("No",G41)))</formula>
    </cfRule>
    <cfRule type="containsText" dxfId="292" priority="22" operator="containsText" text="Yes">
      <formula>NOT(ISERROR(SEARCH("Yes",G41)))</formula>
    </cfRule>
  </conditionalFormatting>
  <conditionalFormatting sqref="G44:H52">
    <cfRule type="containsText" dxfId="291" priority="5" operator="containsText" text="No">
      <formula>NOT(ISERROR(SEARCH("No",G44)))</formula>
    </cfRule>
    <cfRule type="containsText" dxfId="290" priority="6" operator="containsText" text="Yes">
      <formula>NOT(ISERROR(SEARCH("Yes",G44)))</formula>
    </cfRule>
  </conditionalFormatting>
  <conditionalFormatting sqref="G54:H61">
    <cfRule type="containsText" dxfId="289" priority="45" operator="containsText" text="No">
      <formula>NOT(ISERROR(SEARCH("No",G54)))</formula>
    </cfRule>
    <cfRule type="containsText" dxfId="288" priority="46" operator="containsText" text="Yes">
      <formula>NOT(ISERROR(SEARCH("Yes",G54)))</formula>
    </cfRule>
  </conditionalFormatting>
  <conditionalFormatting sqref="G8:I15">
    <cfRule type="containsText" dxfId="287" priority="29" operator="containsText" text="No">
      <formula>NOT(ISERROR(SEARCH("No",G8)))</formula>
    </cfRule>
    <cfRule type="containsText" dxfId="286" priority="30" operator="containsText" text="Yes">
      <formula>NOT(ISERROR(SEARCH("Yes",G8)))</formula>
    </cfRule>
  </conditionalFormatting>
  <conditionalFormatting sqref="G17:I18">
    <cfRule type="containsText" dxfId="285" priority="15" operator="containsText" text="No">
      <formula>NOT(ISERROR(SEARCH("No",G17)))</formula>
    </cfRule>
    <cfRule type="containsText" dxfId="284" priority="16" operator="containsText" text="Yes">
      <formula>NOT(ISERROR(SEARCH("Yes",G17)))</formula>
    </cfRule>
  </conditionalFormatting>
  <conditionalFormatting sqref="H28">
    <cfRule type="containsText" dxfId="283" priority="79" operator="containsText" text="No">
      <formula>NOT(ISERROR(SEARCH("No",H28)))</formula>
    </cfRule>
    <cfRule type="containsText" dxfId="282" priority="80" operator="containsText" text="Yes">
      <formula>NOT(ISERROR(SEARCH("Yes",H28)))</formula>
    </cfRule>
  </conditionalFormatting>
  <conditionalFormatting sqref="I20">
    <cfRule type="containsText" dxfId="281" priority="81" operator="containsText" text="No">
      <formula>NOT(ISERROR(SEARCH("No",I20)))</formula>
    </cfRule>
    <cfRule type="containsText" dxfId="280" priority="82" operator="containsText" text="Yes">
      <formula>NOT(ISERROR(SEARCH("Yes",I20)))</formula>
    </cfRule>
  </conditionalFormatting>
  <conditionalFormatting sqref="I30">
    <cfRule type="containsText" dxfId="279" priority="73" operator="containsText" text="No">
      <formula>NOT(ISERROR(SEARCH("No",I30)))</formula>
    </cfRule>
    <cfRule type="containsText" dxfId="278" priority="74" operator="containsText" text="Yes">
      <formula>NOT(ISERROR(SEARCH("Yes",I30)))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FA891-F48C-496B-8054-3FF0EE00C5E6}">
  <dimension ref="A1:I68"/>
  <sheetViews>
    <sheetView workbookViewId="0">
      <selection activeCell="E2" sqref="E2:I62"/>
    </sheetView>
  </sheetViews>
  <sheetFormatPr defaultColWidth="10" defaultRowHeight="14.4" x14ac:dyDescent="0.3"/>
  <cols>
    <col min="1" max="1" width="17.5546875" style="4" bestFit="1" customWidth="1"/>
    <col min="2" max="2" width="12.33203125" style="4" bestFit="1" customWidth="1"/>
    <col min="3" max="3" width="18.5546875" style="5" bestFit="1" customWidth="1"/>
    <col min="4" max="4" width="23.88671875" style="4" bestFit="1" customWidth="1"/>
    <col min="5" max="5" width="16.6640625" style="4" bestFit="1" customWidth="1"/>
    <col min="6" max="6" width="14.6640625" style="4" bestFit="1" customWidth="1"/>
    <col min="7" max="7" width="14.6640625" style="4" customWidth="1"/>
    <col min="8" max="8" width="12.109375" style="4" bestFit="1" customWidth="1"/>
    <col min="9" max="9" width="4.33203125" style="4" customWidth="1"/>
    <col min="10" max="16384" width="10" style="4"/>
  </cols>
  <sheetData>
    <row r="1" spans="1:9" s="1" customForma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s="1" customFormat="1" x14ac:dyDescent="0.3">
      <c r="A2" s="3" t="s">
        <v>8</v>
      </c>
      <c r="B2" s="4" t="s">
        <v>9</v>
      </c>
      <c r="C2" s="5"/>
      <c r="D2" s="3" t="s">
        <v>10</v>
      </c>
      <c r="E2" s="6"/>
      <c r="F2" s="3"/>
      <c r="G2" s="4"/>
      <c r="H2" s="4"/>
      <c r="I2" s="3"/>
    </row>
    <row r="3" spans="1:9" x14ac:dyDescent="0.3">
      <c r="A3" s="4" t="s">
        <v>12</v>
      </c>
      <c r="D3" s="3"/>
      <c r="E3" s="6"/>
      <c r="F3" s="16"/>
    </row>
    <row r="4" spans="1:9" x14ac:dyDescent="0.3">
      <c r="A4" s="4" t="s">
        <v>17</v>
      </c>
      <c r="D4" s="3"/>
      <c r="E4" s="6"/>
      <c r="F4" s="3"/>
    </row>
    <row r="5" spans="1:9" x14ac:dyDescent="0.3">
      <c r="A5" s="4" t="s">
        <v>18</v>
      </c>
      <c r="B5" s="4" t="s">
        <v>13</v>
      </c>
      <c r="D5" s="3" t="s">
        <v>19</v>
      </c>
      <c r="E5" s="6"/>
      <c r="F5" s="3"/>
    </row>
    <row r="6" spans="1:9" x14ac:dyDescent="0.3">
      <c r="A6" s="4" t="s">
        <v>20</v>
      </c>
      <c r="B6" s="4" t="s">
        <v>13</v>
      </c>
      <c r="D6" s="3" t="s">
        <v>21</v>
      </c>
      <c r="E6" s="6"/>
      <c r="F6" s="3"/>
    </row>
    <row r="7" spans="1:9" x14ac:dyDescent="0.3">
      <c r="A7" s="4" t="s">
        <v>22</v>
      </c>
      <c r="B7" s="4" t="s">
        <v>13</v>
      </c>
      <c r="D7" s="3" t="s">
        <v>23</v>
      </c>
      <c r="E7" s="6"/>
      <c r="F7" s="3"/>
    </row>
    <row r="8" spans="1:9" x14ac:dyDescent="0.3">
      <c r="A8" s="4" t="s">
        <v>24</v>
      </c>
      <c r="B8" s="4" t="s">
        <v>25</v>
      </c>
      <c r="D8" s="16" t="s">
        <v>26</v>
      </c>
      <c r="E8" s="6"/>
      <c r="F8" s="3"/>
    </row>
    <row r="9" spans="1:9" x14ac:dyDescent="0.3">
      <c r="A9" s="4" t="s">
        <v>28</v>
      </c>
      <c r="B9" s="4" t="s">
        <v>13</v>
      </c>
      <c r="D9" s="3" t="s">
        <v>29</v>
      </c>
      <c r="E9" s="6"/>
      <c r="F9" s="3"/>
    </row>
    <row r="10" spans="1:9" x14ac:dyDescent="0.3">
      <c r="A10" s="4" t="s">
        <v>30</v>
      </c>
      <c r="B10" s="4" t="s">
        <v>25</v>
      </c>
      <c r="D10" s="3" t="s">
        <v>136</v>
      </c>
      <c r="E10" s="6"/>
      <c r="F10" s="16"/>
    </row>
    <row r="11" spans="1:9" x14ac:dyDescent="0.3">
      <c r="A11" s="4" t="s">
        <v>31</v>
      </c>
      <c r="B11" s="4" t="s">
        <v>9</v>
      </c>
      <c r="D11" s="3" t="s">
        <v>152</v>
      </c>
      <c r="E11" s="6"/>
      <c r="F11" s="3"/>
    </row>
    <row r="12" spans="1:9" x14ac:dyDescent="0.3">
      <c r="A12" s="4" t="s">
        <v>32</v>
      </c>
      <c r="B12" s="4" t="s">
        <v>9</v>
      </c>
      <c r="D12" s="16" t="s">
        <v>137</v>
      </c>
      <c r="E12" s="6"/>
      <c r="F12" s="3"/>
    </row>
    <row r="13" spans="1:9" x14ac:dyDescent="0.3">
      <c r="A13" s="4" t="s">
        <v>33</v>
      </c>
      <c r="B13" s="4" t="s">
        <v>13</v>
      </c>
      <c r="D13" s="3" t="s">
        <v>323</v>
      </c>
      <c r="E13" s="6"/>
      <c r="F13" s="3"/>
    </row>
    <row r="14" spans="1:9" x14ac:dyDescent="0.3">
      <c r="A14" s="4" t="s">
        <v>35</v>
      </c>
      <c r="B14" s="4" t="s">
        <v>13</v>
      </c>
      <c r="D14" s="3" t="s">
        <v>408</v>
      </c>
      <c r="E14" s="6"/>
    </row>
    <row r="15" spans="1:9" x14ac:dyDescent="0.3">
      <c r="A15" s="4" t="s">
        <v>37</v>
      </c>
      <c r="B15" s="4" t="s">
        <v>13</v>
      </c>
      <c r="D15" s="3" t="s">
        <v>38</v>
      </c>
      <c r="E15" s="6"/>
    </row>
    <row r="16" spans="1:9" x14ac:dyDescent="0.3">
      <c r="A16" s="4" t="s">
        <v>39</v>
      </c>
      <c r="D16" s="3"/>
      <c r="E16" s="6"/>
      <c r="F16" s="3"/>
    </row>
    <row r="17" spans="1:8" x14ac:dyDescent="0.3">
      <c r="A17" s="4" t="s">
        <v>40</v>
      </c>
      <c r="B17" s="4" t="s">
        <v>13</v>
      </c>
      <c r="D17" s="3" t="s">
        <v>41</v>
      </c>
      <c r="E17" s="6"/>
      <c r="F17" s="3"/>
    </row>
    <row r="18" spans="1:8" x14ac:dyDescent="0.3">
      <c r="A18" s="4" t="s">
        <v>42</v>
      </c>
      <c r="B18" s="4" t="s">
        <v>13</v>
      </c>
      <c r="D18" s="3" t="s">
        <v>128</v>
      </c>
      <c r="E18" s="6"/>
      <c r="F18" s="3"/>
    </row>
    <row r="19" spans="1:8" x14ac:dyDescent="0.3">
      <c r="A19" s="4" t="s">
        <v>43</v>
      </c>
      <c r="D19" s="3"/>
      <c r="E19" s="6"/>
      <c r="F19" s="3"/>
    </row>
    <row r="20" spans="1:8" x14ac:dyDescent="0.3">
      <c r="A20" s="4" t="s">
        <v>44</v>
      </c>
      <c r="B20" s="4" t="s">
        <v>25</v>
      </c>
      <c r="D20" s="3" t="s">
        <v>45</v>
      </c>
      <c r="E20" s="6"/>
      <c r="F20" s="3"/>
    </row>
    <row r="21" spans="1:8" x14ac:dyDescent="0.3">
      <c r="A21" s="4" t="s">
        <v>46</v>
      </c>
      <c r="B21" s="4" t="s">
        <v>25</v>
      </c>
      <c r="D21" s="3" t="s">
        <v>320</v>
      </c>
      <c r="E21" s="6"/>
      <c r="F21" s="3"/>
    </row>
    <row r="22" spans="1:8" x14ac:dyDescent="0.3">
      <c r="A22" s="4" t="s">
        <v>49</v>
      </c>
      <c r="B22" s="4" t="s">
        <v>13</v>
      </c>
      <c r="D22" s="3" t="s">
        <v>50</v>
      </c>
      <c r="E22" s="6"/>
      <c r="F22" s="3"/>
    </row>
    <row r="23" spans="1:8" x14ac:dyDescent="0.3">
      <c r="A23" s="4" t="s">
        <v>51</v>
      </c>
      <c r="B23" s="4" t="s">
        <v>13</v>
      </c>
      <c r="D23" s="5" t="s">
        <v>384</v>
      </c>
      <c r="E23" s="6"/>
      <c r="F23" s="3"/>
    </row>
    <row r="24" spans="1:8" x14ac:dyDescent="0.3">
      <c r="A24" s="4" t="s">
        <v>52</v>
      </c>
      <c r="B24" s="4" t="s">
        <v>13</v>
      </c>
      <c r="D24" s="3" t="s">
        <v>294</v>
      </c>
      <c r="E24" s="6"/>
      <c r="F24" s="3"/>
    </row>
    <row r="25" spans="1:8" x14ac:dyDescent="0.3">
      <c r="A25" s="4" t="s">
        <v>53</v>
      </c>
      <c r="B25" s="4" t="s">
        <v>9</v>
      </c>
      <c r="D25" s="3" t="s">
        <v>54</v>
      </c>
      <c r="E25" s="6"/>
      <c r="F25" s="3"/>
    </row>
    <row r="26" spans="1:8" x14ac:dyDescent="0.3">
      <c r="A26" s="4" t="s">
        <v>55</v>
      </c>
      <c r="B26" s="4" t="s">
        <v>13</v>
      </c>
      <c r="D26" s="3" t="s">
        <v>56</v>
      </c>
      <c r="E26" s="6"/>
      <c r="F26" s="3"/>
    </row>
    <row r="27" spans="1:8" x14ac:dyDescent="0.3">
      <c r="A27" s="4" t="s">
        <v>57</v>
      </c>
      <c r="B27" s="4" t="s">
        <v>13</v>
      </c>
      <c r="D27" s="3" t="s">
        <v>58</v>
      </c>
      <c r="E27" s="6"/>
      <c r="F27" s="3"/>
    </row>
    <row r="28" spans="1:8" x14ac:dyDescent="0.3">
      <c r="A28" s="4" t="s">
        <v>59</v>
      </c>
      <c r="B28" s="4" t="s">
        <v>25</v>
      </c>
      <c r="D28" s="3" t="s">
        <v>414</v>
      </c>
      <c r="E28" s="6"/>
      <c r="F28" s="3"/>
      <c r="G28" s="7"/>
      <c r="H28" s="5"/>
    </row>
    <row r="29" spans="1:8" x14ac:dyDescent="0.3">
      <c r="A29" s="4" t="s">
        <v>60</v>
      </c>
      <c r="D29" s="3"/>
      <c r="E29" s="6"/>
      <c r="F29" s="3"/>
    </row>
    <row r="30" spans="1:8" x14ac:dyDescent="0.3">
      <c r="A30" s="4" t="s">
        <v>61</v>
      </c>
      <c r="B30" s="4" t="s">
        <v>13</v>
      </c>
      <c r="D30" s="3" t="s">
        <v>243</v>
      </c>
      <c r="E30" s="6"/>
      <c r="F30" s="3"/>
    </row>
    <row r="31" spans="1:8" x14ac:dyDescent="0.3">
      <c r="A31" s="4" t="s">
        <v>63</v>
      </c>
      <c r="D31" s="3"/>
      <c r="E31" s="6"/>
      <c r="F31" s="3"/>
    </row>
    <row r="32" spans="1:8" x14ac:dyDescent="0.3">
      <c r="A32" s="4" t="s">
        <v>64</v>
      </c>
      <c r="D32" s="3"/>
      <c r="E32" s="6"/>
      <c r="F32" s="3"/>
    </row>
    <row r="33" spans="1:6" x14ac:dyDescent="0.3">
      <c r="A33" s="4" t="s">
        <v>65</v>
      </c>
      <c r="B33" s="4" t="s">
        <v>13</v>
      </c>
      <c r="D33" s="7" t="s">
        <v>66</v>
      </c>
      <c r="E33" s="6"/>
      <c r="F33" s="3"/>
    </row>
    <row r="34" spans="1:6" x14ac:dyDescent="0.3">
      <c r="A34" s="4" t="s">
        <v>67</v>
      </c>
      <c r="B34" s="4" t="s">
        <v>13</v>
      </c>
      <c r="D34" s="3" t="s">
        <v>68</v>
      </c>
      <c r="E34" s="6"/>
      <c r="F34" s="3"/>
    </row>
    <row r="35" spans="1:6" x14ac:dyDescent="0.3">
      <c r="A35" s="4" t="s">
        <v>69</v>
      </c>
      <c r="B35" s="4" t="s">
        <v>25</v>
      </c>
      <c r="D35" s="3" t="s">
        <v>70</v>
      </c>
      <c r="E35" s="6"/>
      <c r="F35" s="3"/>
    </row>
    <row r="36" spans="1:6" x14ac:dyDescent="0.3">
      <c r="A36" s="4" t="s">
        <v>71</v>
      </c>
      <c r="B36" s="4" t="s">
        <v>25</v>
      </c>
      <c r="D36" s="7" t="s">
        <v>72</v>
      </c>
      <c r="E36" s="6"/>
      <c r="F36" s="3"/>
    </row>
    <row r="37" spans="1:6" x14ac:dyDescent="0.3">
      <c r="A37" s="4" t="s">
        <v>73</v>
      </c>
      <c r="B37" s="4" t="s">
        <v>13</v>
      </c>
      <c r="D37" s="3" t="s">
        <v>74</v>
      </c>
      <c r="E37" s="6"/>
      <c r="F37" s="3"/>
    </row>
    <row r="38" spans="1:6" x14ac:dyDescent="0.3">
      <c r="A38" s="4" t="s">
        <v>75</v>
      </c>
      <c r="D38" s="3"/>
      <c r="E38" s="6"/>
      <c r="F38" s="3"/>
    </row>
    <row r="39" spans="1:6" x14ac:dyDescent="0.3">
      <c r="A39" s="4" t="s">
        <v>76</v>
      </c>
      <c r="B39" s="4" t="s">
        <v>25</v>
      </c>
      <c r="D39" s="3" t="s">
        <v>77</v>
      </c>
      <c r="E39" s="6"/>
      <c r="F39" s="3"/>
    </row>
    <row r="40" spans="1:6" x14ac:dyDescent="0.3">
      <c r="A40" s="4" t="s">
        <v>78</v>
      </c>
      <c r="D40" s="3"/>
      <c r="E40" s="20"/>
      <c r="F40" s="3"/>
    </row>
    <row r="41" spans="1:6" x14ac:dyDescent="0.3">
      <c r="A41" s="4" t="s">
        <v>79</v>
      </c>
      <c r="B41" s="4" t="s">
        <v>9</v>
      </c>
      <c r="D41" s="16" t="s">
        <v>393</v>
      </c>
      <c r="E41" s="6"/>
      <c r="F41" s="3"/>
    </row>
    <row r="42" spans="1:6" x14ac:dyDescent="0.3">
      <c r="A42" s="4" t="s">
        <v>80</v>
      </c>
      <c r="B42" s="4" t="s">
        <v>13</v>
      </c>
      <c r="D42" s="7" t="s">
        <v>115</v>
      </c>
      <c r="E42" s="6"/>
      <c r="F42" s="3"/>
    </row>
    <row r="43" spans="1:6" x14ac:dyDescent="0.3">
      <c r="A43" s="4" t="s">
        <v>81</v>
      </c>
      <c r="B43" s="4" t="s">
        <v>9</v>
      </c>
      <c r="D43" s="3" t="s">
        <v>82</v>
      </c>
      <c r="E43" s="6"/>
      <c r="F43" s="3"/>
    </row>
    <row r="44" spans="1:6" x14ac:dyDescent="0.3">
      <c r="A44" s="4" t="s">
        <v>83</v>
      </c>
      <c r="B44" s="4" t="s">
        <v>13</v>
      </c>
      <c r="D44" s="16" t="s">
        <v>313</v>
      </c>
      <c r="E44" s="6"/>
      <c r="F44" s="3"/>
    </row>
    <row r="45" spans="1:6" x14ac:dyDescent="0.3">
      <c r="A45" s="4" t="s">
        <v>85</v>
      </c>
      <c r="B45" s="4" t="s">
        <v>13</v>
      </c>
      <c r="D45" s="3" t="s">
        <v>86</v>
      </c>
      <c r="E45" s="6"/>
      <c r="F45" s="3"/>
    </row>
    <row r="46" spans="1:6" x14ac:dyDescent="0.3">
      <c r="A46" s="4" t="s">
        <v>87</v>
      </c>
      <c r="B46" s="4" t="s">
        <v>25</v>
      </c>
      <c r="D46" s="3" t="s">
        <v>88</v>
      </c>
      <c r="E46" s="6"/>
      <c r="F46" s="3"/>
    </row>
    <row r="47" spans="1:6" x14ac:dyDescent="0.3">
      <c r="A47" s="4" t="s">
        <v>89</v>
      </c>
      <c r="B47" s="4" t="s">
        <v>13</v>
      </c>
      <c r="D47" s="3" t="s">
        <v>90</v>
      </c>
      <c r="E47" s="6"/>
      <c r="F47" s="3"/>
    </row>
    <row r="48" spans="1:6" x14ac:dyDescent="0.3">
      <c r="A48" s="4" t="s">
        <v>91</v>
      </c>
      <c r="B48" s="4" t="s">
        <v>9</v>
      </c>
      <c r="D48" s="7" t="s">
        <v>92</v>
      </c>
      <c r="E48" s="6"/>
      <c r="F48" s="3"/>
    </row>
    <row r="49" spans="1:7" x14ac:dyDescent="0.3">
      <c r="A49" s="4" t="s">
        <v>419</v>
      </c>
      <c r="B49" s="4" t="s">
        <v>25</v>
      </c>
      <c r="D49" s="7" t="s">
        <v>420</v>
      </c>
      <c r="E49" s="6"/>
      <c r="F49" s="3"/>
    </row>
    <row r="50" spans="1:7" x14ac:dyDescent="0.3">
      <c r="A50" s="4" t="s">
        <v>93</v>
      </c>
      <c r="D50" s="3"/>
      <c r="E50" s="6"/>
      <c r="F50" s="3"/>
    </row>
    <row r="51" spans="1:7" x14ac:dyDescent="0.3">
      <c r="A51" s="4" t="s">
        <v>95</v>
      </c>
      <c r="D51" s="7"/>
      <c r="E51" s="6"/>
      <c r="F51" s="3"/>
    </row>
    <row r="52" spans="1:7" x14ac:dyDescent="0.3">
      <c r="A52" s="4" t="s">
        <v>96</v>
      </c>
      <c r="D52" s="7"/>
      <c r="E52" s="6"/>
      <c r="F52" s="19"/>
    </row>
    <row r="53" spans="1:7" x14ac:dyDescent="0.3">
      <c r="A53" s="4" t="s">
        <v>98</v>
      </c>
      <c r="B53" s="4" t="s">
        <v>9</v>
      </c>
      <c r="D53" s="3" t="s">
        <v>99</v>
      </c>
      <c r="E53" s="6"/>
      <c r="F53" s="3"/>
    </row>
    <row r="54" spans="1:7" x14ac:dyDescent="0.3">
      <c r="A54" s="4" t="s">
        <v>100</v>
      </c>
      <c r="B54" s="4" t="s">
        <v>9</v>
      </c>
      <c r="D54" s="8" t="s">
        <v>326</v>
      </c>
      <c r="E54" s="9"/>
      <c r="F54" s="7"/>
      <c r="G54" s="7"/>
    </row>
    <row r="55" spans="1:7" x14ac:dyDescent="0.3">
      <c r="A55" s="4" t="s">
        <v>102</v>
      </c>
      <c r="B55" s="4" t="s">
        <v>9</v>
      </c>
      <c r="D55" s="3" t="s">
        <v>103</v>
      </c>
      <c r="E55" s="6"/>
      <c r="F55" s="3"/>
    </row>
    <row r="56" spans="1:7" x14ac:dyDescent="0.3">
      <c r="A56" s="4" t="s">
        <v>104</v>
      </c>
      <c r="B56" s="4" t="s">
        <v>9</v>
      </c>
      <c r="D56" s="3" t="s">
        <v>105</v>
      </c>
      <c r="E56" s="6"/>
      <c r="F56" s="3"/>
    </row>
    <row r="57" spans="1:7" x14ac:dyDescent="0.3">
      <c r="A57" s="4" t="s">
        <v>106</v>
      </c>
      <c r="B57" s="4" t="s">
        <v>13</v>
      </c>
      <c r="D57" s="3" t="s">
        <v>107</v>
      </c>
      <c r="E57" s="6"/>
      <c r="F57" s="3"/>
    </row>
    <row r="58" spans="1:7" x14ac:dyDescent="0.3">
      <c r="A58" s="4" t="s">
        <v>108</v>
      </c>
      <c r="B58" s="4" t="s">
        <v>13</v>
      </c>
      <c r="D58" s="7" t="s">
        <v>135</v>
      </c>
      <c r="E58" s="6"/>
      <c r="F58" s="3"/>
    </row>
    <row r="59" spans="1:7" x14ac:dyDescent="0.3">
      <c r="A59" s="4" t="s">
        <v>109</v>
      </c>
      <c r="B59" s="4" t="s">
        <v>13</v>
      </c>
      <c r="D59" s="3" t="s">
        <v>110</v>
      </c>
      <c r="E59" s="6"/>
      <c r="F59" s="3"/>
    </row>
    <row r="60" spans="1:7" x14ac:dyDescent="0.3">
      <c r="A60" s="4" t="s">
        <v>111</v>
      </c>
      <c r="B60" s="4" t="s">
        <v>25</v>
      </c>
      <c r="D60" s="16" t="s">
        <v>82</v>
      </c>
      <c r="E60" s="15"/>
      <c r="F60" s="16"/>
    </row>
    <row r="61" spans="1:7" x14ac:dyDescent="0.3">
      <c r="A61" s="4" t="s">
        <v>113</v>
      </c>
      <c r="B61" s="4" t="s">
        <v>25</v>
      </c>
      <c r="D61" s="3" t="s">
        <v>92</v>
      </c>
      <c r="E61" s="6"/>
      <c r="F61" s="16"/>
    </row>
    <row r="62" spans="1:7" s="10" customFormat="1" ht="15" thickBot="1" x14ac:dyDescent="0.35">
      <c r="A62" s="10" t="s">
        <v>114</v>
      </c>
      <c r="B62" s="4"/>
      <c r="C62" s="11">
        <f>SUM(C2:C61)</f>
        <v>0</v>
      </c>
      <c r="D62" s="4"/>
    </row>
    <row r="63" spans="1:7" ht="15" thickTop="1" x14ac:dyDescent="0.3"/>
    <row r="68" spans="4:4" x14ac:dyDescent="0.3">
      <c r="D68" s="12"/>
    </row>
  </sheetData>
  <conditionalFormatting sqref="F14:F15 I20:I27">
    <cfRule type="containsText" dxfId="277" priority="65" operator="containsText" text="No">
      <formula>NOT(ISERROR(SEARCH("No",F14)))</formula>
    </cfRule>
    <cfRule type="containsText" dxfId="276" priority="66" operator="containsText" text="Yes">
      <formula>NOT(ISERROR(SEARCH("Yes",F14)))</formula>
    </cfRule>
  </conditionalFormatting>
  <conditionalFormatting sqref="G1">
    <cfRule type="containsText" dxfId="275" priority="87" operator="containsText" text="No">
      <formula>NOT(ISERROR(SEARCH("No",G1)))</formula>
    </cfRule>
    <cfRule type="containsText" dxfId="274" priority="88" operator="containsText" text="Yes">
      <formula>NOT(ISERROR(SEARCH("Yes",G1)))</formula>
    </cfRule>
  </conditionalFormatting>
  <conditionalFormatting sqref="G16 G19">
    <cfRule type="containsText" dxfId="273" priority="77" operator="containsText" text="No">
      <formula>NOT(ISERROR(SEARCH("No",G16)))</formula>
    </cfRule>
    <cfRule type="containsText" dxfId="272" priority="78" operator="containsText" text="Yes">
      <formula>NOT(ISERROR(SEARCH("Yes",G16)))</formula>
    </cfRule>
  </conditionalFormatting>
  <conditionalFormatting sqref="G29">
    <cfRule type="containsText" dxfId="271" priority="75" operator="containsText" text="No">
      <formula>NOT(ISERROR(SEARCH("No",G29)))</formula>
    </cfRule>
    <cfRule type="containsText" dxfId="270" priority="76" operator="containsText" text="Yes">
      <formula>NOT(ISERROR(SEARCH("Yes",G29)))</formula>
    </cfRule>
  </conditionalFormatting>
  <conditionalFormatting sqref="G40">
    <cfRule type="containsText" dxfId="269" priority="91" operator="containsText" text="No">
      <formula>NOT(ISERROR(SEARCH("No",G40)))</formula>
    </cfRule>
    <cfRule type="containsText" dxfId="268" priority="92" operator="containsText" text="Yes">
      <formula>NOT(ISERROR(SEARCH("Yes",G40)))</formula>
    </cfRule>
  </conditionalFormatting>
  <conditionalFormatting sqref="G43">
    <cfRule type="containsText" dxfId="267" priority="85" operator="containsText" text="No">
      <formula>NOT(ISERROR(SEARCH("No",G43)))</formula>
    </cfRule>
    <cfRule type="containsText" dxfId="266" priority="86" operator="containsText" text="Yes">
      <formula>NOT(ISERROR(SEARCH("Yes",G43)))</formula>
    </cfRule>
  </conditionalFormatting>
  <conditionalFormatting sqref="G53">
    <cfRule type="containsText" dxfId="265" priority="83" operator="containsText" text="No">
      <formula>NOT(ISERROR(SEARCH("No",G53)))</formula>
    </cfRule>
    <cfRule type="containsText" dxfId="264" priority="84" operator="containsText" text="Yes">
      <formula>NOT(ISERROR(SEARCH("Yes",G53)))</formula>
    </cfRule>
  </conditionalFormatting>
  <conditionalFormatting sqref="G62:G1048576">
    <cfRule type="containsText" dxfId="263" priority="89" operator="containsText" text="No">
      <formula>NOT(ISERROR(SEARCH("No",G62)))</formula>
    </cfRule>
    <cfRule type="containsText" dxfId="262" priority="90" operator="containsText" text="Yes">
      <formula>NOT(ISERROR(SEARCH("Yes",G62)))</formula>
    </cfRule>
  </conditionalFormatting>
  <conditionalFormatting sqref="G2:H7">
    <cfRule type="containsText" dxfId="261" priority="1" operator="containsText" text="No">
      <formula>NOT(ISERROR(SEARCH("No",G2)))</formula>
    </cfRule>
    <cfRule type="containsText" dxfId="260" priority="2" operator="containsText" text="Yes">
      <formula>NOT(ISERROR(SEARCH("Yes",G2)))</formula>
    </cfRule>
  </conditionalFormatting>
  <conditionalFormatting sqref="G20:H28">
    <cfRule type="containsText" dxfId="259" priority="19" operator="containsText" text="No">
      <formula>NOT(ISERROR(SEARCH("No",G20)))</formula>
    </cfRule>
    <cfRule type="containsText" dxfId="258" priority="20" operator="containsText" text="Yes">
      <formula>NOT(ISERROR(SEARCH("Yes",G20)))</formula>
    </cfRule>
  </conditionalFormatting>
  <conditionalFormatting sqref="G30:H39">
    <cfRule type="containsText" dxfId="257" priority="9" operator="containsText" text="No">
      <formula>NOT(ISERROR(SEARCH("No",G30)))</formula>
    </cfRule>
    <cfRule type="containsText" dxfId="256" priority="10" operator="containsText" text="Yes">
      <formula>NOT(ISERROR(SEARCH("Yes",G30)))</formula>
    </cfRule>
  </conditionalFormatting>
  <conditionalFormatting sqref="G41:H42">
    <cfRule type="containsText" dxfId="255" priority="21" operator="containsText" text="No">
      <formula>NOT(ISERROR(SEARCH("No",G41)))</formula>
    </cfRule>
    <cfRule type="containsText" dxfId="254" priority="22" operator="containsText" text="Yes">
      <formula>NOT(ISERROR(SEARCH("Yes",G41)))</formula>
    </cfRule>
  </conditionalFormatting>
  <conditionalFormatting sqref="G44:H52">
    <cfRule type="containsText" dxfId="253" priority="5" operator="containsText" text="No">
      <formula>NOT(ISERROR(SEARCH("No",G44)))</formula>
    </cfRule>
    <cfRule type="containsText" dxfId="252" priority="6" operator="containsText" text="Yes">
      <formula>NOT(ISERROR(SEARCH("Yes",G44)))</formula>
    </cfRule>
  </conditionalFormatting>
  <conditionalFormatting sqref="G54:H61">
    <cfRule type="containsText" dxfId="251" priority="45" operator="containsText" text="No">
      <formula>NOT(ISERROR(SEARCH("No",G54)))</formula>
    </cfRule>
    <cfRule type="containsText" dxfId="250" priority="46" operator="containsText" text="Yes">
      <formula>NOT(ISERROR(SEARCH("Yes",G54)))</formula>
    </cfRule>
  </conditionalFormatting>
  <conditionalFormatting sqref="G8:I15">
    <cfRule type="containsText" dxfId="249" priority="29" operator="containsText" text="No">
      <formula>NOT(ISERROR(SEARCH("No",G8)))</formula>
    </cfRule>
    <cfRule type="containsText" dxfId="248" priority="30" operator="containsText" text="Yes">
      <formula>NOT(ISERROR(SEARCH("Yes",G8)))</formula>
    </cfRule>
  </conditionalFormatting>
  <conditionalFormatting sqref="G17:I18">
    <cfRule type="containsText" dxfId="247" priority="15" operator="containsText" text="No">
      <formula>NOT(ISERROR(SEARCH("No",G17)))</formula>
    </cfRule>
    <cfRule type="containsText" dxfId="246" priority="16" operator="containsText" text="Yes">
      <formula>NOT(ISERROR(SEARCH("Yes",G17)))</formula>
    </cfRule>
  </conditionalFormatting>
  <conditionalFormatting sqref="H28">
    <cfRule type="containsText" dxfId="245" priority="79" operator="containsText" text="No">
      <formula>NOT(ISERROR(SEARCH("No",H28)))</formula>
    </cfRule>
    <cfRule type="containsText" dxfId="244" priority="80" operator="containsText" text="Yes">
      <formula>NOT(ISERROR(SEARCH("Yes",H28)))</formula>
    </cfRule>
  </conditionalFormatting>
  <conditionalFormatting sqref="I20">
    <cfRule type="containsText" dxfId="243" priority="81" operator="containsText" text="No">
      <formula>NOT(ISERROR(SEARCH("No",I20)))</formula>
    </cfRule>
    <cfRule type="containsText" dxfId="242" priority="82" operator="containsText" text="Yes">
      <formula>NOT(ISERROR(SEARCH("Yes",I20)))</formula>
    </cfRule>
  </conditionalFormatting>
  <conditionalFormatting sqref="I30">
    <cfRule type="containsText" dxfId="241" priority="73" operator="containsText" text="No">
      <formula>NOT(ISERROR(SEARCH("No",I30)))</formula>
    </cfRule>
    <cfRule type="containsText" dxfId="240" priority="74" operator="containsText" text="Yes">
      <formula>NOT(ISERROR(SEARCH("Yes",I30)))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D026F-60E6-4DF9-AC43-BCA270B619F5}">
  <dimension ref="A1:I6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XFD1048576"/>
    </sheetView>
  </sheetViews>
  <sheetFormatPr defaultColWidth="10" defaultRowHeight="14.4" x14ac:dyDescent="0.3"/>
  <cols>
    <col min="1" max="1" width="17.5546875" style="4" bestFit="1" customWidth="1"/>
    <col min="2" max="2" width="12.33203125" style="4" bestFit="1" customWidth="1"/>
    <col min="3" max="3" width="18.5546875" style="5" bestFit="1" customWidth="1"/>
    <col min="4" max="4" width="23.88671875" style="4" bestFit="1" customWidth="1"/>
    <col min="5" max="5" width="16.6640625" style="4" bestFit="1" customWidth="1"/>
    <col min="6" max="6" width="14.6640625" style="4" bestFit="1" customWidth="1"/>
    <col min="7" max="7" width="14.6640625" style="4" customWidth="1"/>
    <col min="8" max="8" width="12.109375" style="4" bestFit="1" customWidth="1"/>
    <col min="9" max="9" width="4.33203125" style="4" customWidth="1"/>
    <col min="10" max="16384" width="10" style="4"/>
  </cols>
  <sheetData>
    <row r="1" spans="1:9" s="1" customForma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s="1" customFormat="1" x14ac:dyDescent="0.3">
      <c r="A2" s="3" t="s">
        <v>8</v>
      </c>
      <c r="B2" s="4" t="s">
        <v>9</v>
      </c>
      <c r="C2" s="5">
        <v>6760800</v>
      </c>
      <c r="D2" s="3" t="s">
        <v>10</v>
      </c>
      <c r="E2" s="6">
        <v>20790</v>
      </c>
      <c r="F2" s="3"/>
      <c r="G2" s="4" t="s">
        <v>11</v>
      </c>
      <c r="H2" s="4"/>
      <c r="I2" s="3"/>
    </row>
    <row r="3" spans="1:9" x14ac:dyDescent="0.3">
      <c r="A3" s="4" t="s">
        <v>12</v>
      </c>
      <c r="B3" s="4" t="s">
        <v>13</v>
      </c>
      <c r="C3" s="5">
        <v>2405900</v>
      </c>
      <c r="D3" s="3" t="s">
        <v>14</v>
      </c>
      <c r="E3" s="6"/>
      <c r="F3" s="16"/>
      <c r="G3" s="4" t="s">
        <v>15</v>
      </c>
      <c r="H3" s="4" t="s">
        <v>16</v>
      </c>
    </row>
    <row r="4" spans="1:9" x14ac:dyDescent="0.3">
      <c r="A4" s="4" t="s">
        <v>17</v>
      </c>
      <c r="D4" s="3"/>
      <c r="E4" s="6"/>
      <c r="F4" s="3"/>
    </row>
    <row r="5" spans="1:9" x14ac:dyDescent="0.3">
      <c r="A5" s="4" t="s">
        <v>18</v>
      </c>
      <c r="B5" s="4" t="s">
        <v>13</v>
      </c>
      <c r="C5" s="5">
        <v>2359150</v>
      </c>
      <c r="D5" s="3" t="s">
        <v>19</v>
      </c>
      <c r="E5" s="6">
        <v>23480964</v>
      </c>
      <c r="F5" s="3"/>
      <c r="G5" s="4" t="s">
        <v>15</v>
      </c>
      <c r="H5" s="4" t="s">
        <v>16</v>
      </c>
    </row>
    <row r="6" spans="1:9" x14ac:dyDescent="0.3">
      <c r="A6" s="4" t="s">
        <v>20</v>
      </c>
      <c r="B6" s="4" t="s">
        <v>13</v>
      </c>
      <c r="C6" s="5">
        <v>1951170</v>
      </c>
      <c r="D6" s="3" t="s">
        <v>21</v>
      </c>
      <c r="E6" s="6">
        <v>25461170</v>
      </c>
      <c r="F6" s="3"/>
      <c r="G6" s="4" t="s">
        <v>15</v>
      </c>
      <c r="H6" s="4" t="s">
        <v>16</v>
      </c>
    </row>
    <row r="7" spans="1:9" x14ac:dyDescent="0.3">
      <c r="A7" s="4" t="s">
        <v>22</v>
      </c>
      <c r="B7" s="4" t="s">
        <v>13</v>
      </c>
      <c r="C7" s="5">
        <v>1921800</v>
      </c>
      <c r="D7" s="3" t="s">
        <v>23</v>
      </c>
      <c r="E7" s="6"/>
      <c r="F7" s="3"/>
      <c r="G7" s="4" t="s">
        <v>15</v>
      </c>
      <c r="H7" s="4" t="s">
        <v>16</v>
      </c>
    </row>
    <row r="8" spans="1:9" x14ac:dyDescent="0.3">
      <c r="A8" s="4" t="s">
        <v>24</v>
      </c>
      <c r="B8" s="4" t="s">
        <v>25</v>
      </c>
      <c r="C8" s="5">
        <v>2458800</v>
      </c>
      <c r="D8" s="16" t="s">
        <v>26</v>
      </c>
      <c r="E8" s="6">
        <v>262209</v>
      </c>
      <c r="F8" s="3"/>
      <c r="G8" s="4" t="s">
        <v>15</v>
      </c>
      <c r="H8" s="4" t="s">
        <v>27</v>
      </c>
    </row>
    <row r="9" spans="1:9" x14ac:dyDescent="0.3">
      <c r="A9" s="4" t="s">
        <v>28</v>
      </c>
      <c r="B9" s="4" t="s">
        <v>13</v>
      </c>
      <c r="C9" s="5">
        <v>1734000</v>
      </c>
      <c r="D9" s="3" t="s">
        <v>29</v>
      </c>
      <c r="E9" s="6">
        <v>23480956</v>
      </c>
      <c r="F9" s="3"/>
      <c r="G9" s="4" t="s">
        <v>15</v>
      </c>
      <c r="H9" s="4" t="s">
        <v>16</v>
      </c>
    </row>
    <row r="10" spans="1:9" x14ac:dyDescent="0.3">
      <c r="A10" s="4" t="s">
        <v>30</v>
      </c>
      <c r="B10" s="4" t="s">
        <v>25</v>
      </c>
      <c r="C10" s="5">
        <v>11863050</v>
      </c>
      <c r="D10" s="3" t="s">
        <v>136</v>
      </c>
      <c r="E10" s="6" t="s">
        <v>443</v>
      </c>
      <c r="F10" s="3" t="s">
        <v>444</v>
      </c>
      <c r="G10" s="4" t="s">
        <v>15</v>
      </c>
      <c r="H10" s="4" t="s">
        <v>27</v>
      </c>
    </row>
    <row r="11" spans="1:9" x14ac:dyDescent="0.3">
      <c r="A11" s="4" t="s">
        <v>31</v>
      </c>
      <c r="B11" s="4" t="s">
        <v>9</v>
      </c>
      <c r="C11" s="5">
        <v>6853600</v>
      </c>
      <c r="D11" s="3" t="s">
        <v>152</v>
      </c>
      <c r="E11" s="6">
        <v>43900</v>
      </c>
      <c r="F11" s="3"/>
      <c r="G11" s="4" t="s">
        <v>11</v>
      </c>
    </row>
    <row r="12" spans="1:9" x14ac:dyDescent="0.3">
      <c r="A12" s="4" t="s">
        <v>32</v>
      </c>
      <c r="B12" s="4" t="s">
        <v>9</v>
      </c>
      <c r="C12" s="5">
        <v>8327900</v>
      </c>
      <c r="D12" s="16" t="s">
        <v>137</v>
      </c>
      <c r="E12" s="6">
        <v>41555</v>
      </c>
      <c r="F12" s="3"/>
      <c r="G12" s="4" t="s">
        <v>11</v>
      </c>
    </row>
    <row r="13" spans="1:9" x14ac:dyDescent="0.3">
      <c r="A13" s="4" t="s">
        <v>33</v>
      </c>
      <c r="B13" s="4" t="s">
        <v>13</v>
      </c>
      <c r="C13" s="5">
        <v>1873750</v>
      </c>
      <c r="D13" s="3" t="s">
        <v>323</v>
      </c>
      <c r="E13" s="6"/>
      <c r="F13" s="3"/>
      <c r="G13" s="4" t="s">
        <v>15</v>
      </c>
      <c r="H13" s="4" t="s">
        <v>16</v>
      </c>
    </row>
    <row r="14" spans="1:9" x14ac:dyDescent="0.3">
      <c r="A14" s="4" t="s">
        <v>35</v>
      </c>
      <c r="B14" s="4" t="s">
        <v>13</v>
      </c>
      <c r="C14" s="5">
        <v>657800</v>
      </c>
      <c r="D14" s="3" t="s">
        <v>408</v>
      </c>
      <c r="E14" s="6"/>
      <c r="F14" s="4" t="s">
        <v>439</v>
      </c>
      <c r="G14" s="4" t="s">
        <v>15</v>
      </c>
      <c r="H14" s="4" t="s">
        <v>16</v>
      </c>
    </row>
    <row r="15" spans="1:9" x14ac:dyDescent="0.3">
      <c r="A15" s="4" t="s">
        <v>37</v>
      </c>
      <c r="B15" s="4" t="s">
        <v>13</v>
      </c>
      <c r="C15" s="5">
        <v>2222050</v>
      </c>
      <c r="D15" s="3" t="s">
        <v>38</v>
      </c>
      <c r="E15" s="6"/>
      <c r="G15" s="4" t="s">
        <v>15</v>
      </c>
      <c r="H15" s="4" t="s">
        <v>16</v>
      </c>
    </row>
    <row r="16" spans="1:9" x14ac:dyDescent="0.3">
      <c r="A16" s="4" t="s">
        <v>39</v>
      </c>
      <c r="D16" s="3"/>
      <c r="E16" s="6"/>
      <c r="F16" s="3"/>
    </row>
    <row r="17" spans="1:8" x14ac:dyDescent="0.3">
      <c r="A17" s="4" t="s">
        <v>40</v>
      </c>
      <c r="B17" s="4" t="s">
        <v>13</v>
      </c>
      <c r="C17" s="5">
        <v>7088250</v>
      </c>
      <c r="D17" s="3" t="s">
        <v>41</v>
      </c>
      <c r="E17" s="6">
        <v>24596218</v>
      </c>
      <c r="F17" s="3"/>
      <c r="G17" s="4" t="s">
        <v>15</v>
      </c>
      <c r="H17" s="4" t="s">
        <v>16</v>
      </c>
    </row>
    <row r="18" spans="1:8" x14ac:dyDescent="0.3">
      <c r="A18" s="4" t="s">
        <v>42</v>
      </c>
      <c r="B18" s="4" t="s">
        <v>13</v>
      </c>
      <c r="C18" s="5">
        <v>892800</v>
      </c>
      <c r="D18" s="3" t="s">
        <v>128</v>
      </c>
      <c r="E18" s="6"/>
      <c r="F18" s="3"/>
      <c r="G18" s="4" t="s">
        <v>15</v>
      </c>
      <c r="H18" s="4" t="s">
        <v>16</v>
      </c>
    </row>
    <row r="19" spans="1:8" x14ac:dyDescent="0.3">
      <c r="A19" s="4" t="s">
        <v>43</v>
      </c>
      <c r="D19" s="3"/>
      <c r="E19" s="6"/>
      <c r="F19" s="3"/>
    </row>
    <row r="20" spans="1:8" x14ac:dyDescent="0.3">
      <c r="A20" s="4" t="s">
        <v>44</v>
      </c>
      <c r="B20" s="4" t="s">
        <v>25</v>
      </c>
      <c r="C20" s="5">
        <v>8002500</v>
      </c>
      <c r="D20" s="3" t="s">
        <v>45</v>
      </c>
      <c r="E20" s="6" t="s">
        <v>425</v>
      </c>
      <c r="F20" s="3" t="s">
        <v>426</v>
      </c>
      <c r="G20" s="4" t="s">
        <v>15</v>
      </c>
      <c r="H20" s="4" t="s">
        <v>27</v>
      </c>
    </row>
    <row r="21" spans="1:8" x14ac:dyDescent="0.3">
      <c r="A21" s="4" t="s">
        <v>46</v>
      </c>
      <c r="B21" s="4" t="s">
        <v>25</v>
      </c>
      <c r="C21" s="5">
        <v>2441580</v>
      </c>
      <c r="D21" s="3" t="s">
        <v>320</v>
      </c>
      <c r="E21" s="6" t="s">
        <v>422</v>
      </c>
      <c r="F21" s="3" t="s">
        <v>423</v>
      </c>
      <c r="G21" s="4" t="s">
        <v>15</v>
      </c>
      <c r="H21" s="4" t="s">
        <v>27</v>
      </c>
    </row>
    <row r="22" spans="1:8" x14ac:dyDescent="0.3">
      <c r="A22" s="4" t="s">
        <v>49</v>
      </c>
      <c r="B22" s="4" t="s">
        <v>13</v>
      </c>
      <c r="C22" s="5">
        <v>3908770</v>
      </c>
      <c r="D22" s="3" t="s">
        <v>50</v>
      </c>
      <c r="E22" s="6">
        <v>154533</v>
      </c>
      <c r="F22" s="3" t="s">
        <v>432</v>
      </c>
      <c r="G22" s="4" t="s">
        <v>15</v>
      </c>
      <c r="H22" s="4" t="s">
        <v>16</v>
      </c>
    </row>
    <row r="23" spans="1:8" x14ac:dyDescent="0.3">
      <c r="A23" s="4" t="s">
        <v>51</v>
      </c>
      <c r="B23" s="4" t="s">
        <v>13</v>
      </c>
      <c r="C23" s="5">
        <v>7003960</v>
      </c>
      <c r="D23" s="5" t="s">
        <v>215</v>
      </c>
      <c r="E23" s="6" t="s">
        <v>431</v>
      </c>
      <c r="F23" s="3" t="s">
        <v>429</v>
      </c>
      <c r="G23" s="4" t="s">
        <v>15</v>
      </c>
      <c r="H23" s="4" t="s">
        <v>16</v>
      </c>
    </row>
    <row r="24" spans="1:8" x14ac:dyDescent="0.3">
      <c r="A24" s="4" t="s">
        <v>52</v>
      </c>
      <c r="B24" s="4" t="s">
        <v>13</v>
      </c>
      <c r="D24" s="3" t="s">
        <v>294</v>
      </c>
      <c r="E24" s="6"/>
      <c r="F24" s="3"/>
    </row>
    <row r="25" spans="1:8" x14ac:dyDescent="0.3">
      <c r="A25" s="4" t="s">
        <v>53</v>
      </c>
      <c r="B25" s="4" t="s">
        <v>9</v>
      </c>
      <c r="C25" s="5">
        <v>14131400</v>
      </c>
      <c r="D25" s="3" t="s">
        <v>446</v>
      </c>
      <c r="E25" s="6">
        <v>174842</v>
      </c>
      <c r="F25" s="3"/>
      <c r="G25" s="4" t="s">
        <v>11</v>
      </c>
    </row>
    <row r="26" spans="1:8" x14ac:dyDescent="0.3">
      <c r="A26" s="4" t="s">
        <v>55</v>
      </c>
      <c r="B26" s="4" t="s">
        <v>13</v>
      </c>
      <c r="C26" s="5">
        <v>1977100</v>
      </c>
      <c r="D26" s="3" t="s">
        <v>56</v>
      </c>
      <c r="E26" s="6">
        <v>146810</v>
      </c>
      <c r="F26" s="3" t="s">
        <v>424</v>
      </c>
      <c r="G26" s="4" t="s">
        <v>15</v>
      </c>
      <c r="H26" s="4" t="s">
        <v>16</v>
      </c>
    </row>
    <row r="27" spans="1:8" x14ac:dyDescent="0.3">
      <c r="A27" s="4" t="s">
        <v>57</v>
      </c>
      <c r="B27" s="4" t="s">
        <v>13</v>
      </c>
      <c r="C27" s="5">
        <v>1881290</v>
      </c>
      <c r="D27" s="3" t="s">
        <v>58</v>
      </c>
      <c r="E27" s="6">
        <v>149147</v>
      </c>
      <c r="F27" s="3" t="s">
        <v>433</v>
      </c>
      <c r="G27" s="4" t="s">
        <v>15</v>
      </c>
      <c r="H27" s="4" t="s">
        <v>16</v>
      </c>
    </row>
    <row r="28" spans="1:8" x14ac:dyDescent="0.3">
      <c r="A28" s="4" t="s">
        <v>59</v>
      </c>
      <c r="B28" s="4" t="s">
        <v>25</v>
      </c>
      <c r="D28" s="3" t="s">
        <v>414</v>
      </c>
      <c r="E28" s="6"/>
      <c r="F28" s="3"/>
      <c r="G28" s="7"/>
      <c r="H28" s="5"/>
    </row>
    <row r="29" spans="1:8" x14ac:dyDescent="0.3">
      <c r="A29" s="4" t="s">
        <v>60</v>
      </c>
      <c r="B29" s="4" t="s">
        <v>13</v>
      </c>
      <c r="C29" s="5">
        <v>16440750</v>
      </c>
      <c r="D29" s="3" t="s">
        <v>447</v>
      </c>
      <c r="E29" s="6">
        <v>165145</v>
      </c>
      <c r="F29" s="3" t="s">
        <v>448</v>
      </c>
      <c r="G29" s="4" t="s">
        <v>11</v>
      </c>
    </row>
    <row r="30" spans="1:8" x14ac:dyDescent="0.3">
      <c r="A30" s="4" t="s">
        <v>61</v>
      </c>
      <c r="B30" s="4" t="s">
        <v>13</v>
      </c>
      <c r="D30" s="3" t="s">
        <v>243</v>
      </c>
      <c r="E30" s="6"/>
      <c r="F30" s="3"/>
    </row>
    <row r="31" spans="1:8" x14ac:dyDescent="0.3">
      <c r="A31" s="4" t="s">
        <v>63</v>
      </c>
      <c r="D31" s="3"/>
      <c r="E31" s="6"/>
      <c r="F31" s="3"/>
    </row>
    <row r="32" spans="1:8" x14ac:dyDescent="0.3">
      <c r="A32" s="4" t="s">
        <v>64</v>
      </c>
      <c r="B32" s="4" t="s">
        <v>13</v>
      </c>
      <c r="C32" s="5">
        <v>1290750</v>
      </c>
      <c r="D32" s="3" t="s">
        <v>168</v>
      </c>
      <c r="E32" s="6">
        <v>23480957</v>
      </c>
      <c r="F32" s="3"/>
      <c r="G32" s="4" t="s">
        <v>15</v>
      </c>
      <c r="H32" s="4" t="s">
        <v>16</v>
      </c>
    </row>
    <row r="33" spans="1:8" x14ac:dyDescent="0.3">
      <c r="A33" s="4" t="s">
        <v>65</v>
      </c>
      <c r="B33" s="4" t="s">
        <v>13</v>
      </c>
      <c r="C33" s="5">
        <v>2637920</v>
      </c>
      <c r="D33" s="7" t="s">
        <v>66</v>
      </c>
      <c r="E33" s="6">
        <v>23480953</v>
      </c>
      <c r="F33" s="3"/>
      <c r="G33" s="4" t="s">
        <v>15</v>
      </c>
      <c r="H33" s="4" t="s">
        <v>16</v>
      </c>
    </row>
    <row r="34" spans="1:8" x14ac:dyDescent="0.3">
      <c r="A34" s="4" t="s">
        <v>67</v>
      </c>
      <c r="B34" s="4" t="s">
        <v>13</v>
      </c>
      <c r="C34" s="5">
        <v>2328500</v>
      </c>
      <c r="D34" s="3" t="s">
        <v>68</v>
      </c>
      <c r="E34" s="6">
        <v>23480934</v>
      </c>
      <c r="F34" s="3"/>
      <c r="G34" s="4" t="s">
        <v>15</v>
      </c>
      <c r="H34" s="4" t="s">
        <v>16</v>
      </c>
    </row>
    <row r="35" spans="1:8" x14ac:dyDescent="0.3">
      <c r="A35" s="4" t="s">
        <v>69</v>
      </c>
      <c r="B35" s="4" t="s">
        <v>25</v>
      </c>
      <c r="C35" s="5">
        <v>1997450</v>
      </c>
      <c r="D35" s="3" t="s">
        <v>427</v>
      </c>
      <c r="E35" s="6" t="s">
        <v>428</v>
      </c>
      <c r="F35" s="3" t="s">
        <v>429</v>
      </c>
      <c r="G35" s="4" t="s">
        <v>15</v>
      </c>
      <c r="H35" s="4" t="s">
        <v>27</v>
      </c>
    </row>
    <row r="36" spans="1:8" x14ac:dyDescent="0.3">
      <c r="A36" s="4" t="s">
        <v>71</v>
      </c>
      <c r="B36" s="4" t="s">
        <v>25</v>
      </c>
      <c r="C36" s="5">
        <v>12305400</v>
      </c>
      <c r="D36" s="7" t="s">
        <v>72</v>
      </c>
      <c r="E36" s="6">
        <v>5005163</v>
      </c>
      <c r="F36" s="3"/>
      <c r="G36" s="4" t="s">
        <v>15</v>
      </c>
      <c r="H36" s="4" t="s">
        <v>27</v>
      </c>
    </row>
    <row r="37" spans="1:8" x14ac:dyDescent="0.3">
      <c r="A37" s="4" t="s">
        <v>73</v>
      </c>
      <c r="B37" s="4" t="s">
        <v>13</v>
      </c>
      <c r="C37" s="5">
        <v>4900000</v>
      </c>
      <c r="D37" s="3" t="s">
        <v>74</v>
      </c>
      <c r="E37" s="6">
        <v>22769189</v>
      </c>
      <c r="F37" s="3"/>
      <c r="G37" s="4" t="s">
        <v>15</v>
      </c>
      <c r="H37" s="4" t="s">
        <v>16</v>
      </c>
    </row>
    <row r="38" spans="1:8" x14ac:dyDescent="0.3">
      <c r="A38" s="4" t="s">
        <v>75</v>
      </c>
      <c r="D38" s="3"/>
      <c r="E38" s="6"/>
      <c r="F38" s="3"/>
    </row>
    <row r="39" spans="1:8" x14ac:dyDescent="0.3">
      <c r="A39" s="4" t="s">
        <v>76</v>
      </c>
      <c r="B39" s="4" t="s">
        <v>25</v>
      </c>
      <c r="C39" s="5">
        <v>2469250</v>
      </c>
      <c r="D39" s="3" t="s">
        <v>77</v>
      </c>
      <c r="E39" s="6">
        <v>4975160</v>
      </c>
      <c r="F39" s="3"/>
      <c r="G39" s="4" t="s">
        <v>15</v>
      </c>
      <c r="H39" s="4" t="s">
        <v>27</v>
      </c>
    </row>
    <row r="40" spans="1:8" x14ac:dyDescent="0.3">
      <c r="A40" s="4" t="s">
        <v>78</v>
      </c>
      <c r="D40" s="3"/>
      <c r="E40" s="20"/>
      <c r="F40" s="3"/>
    </row>
    <row r="41" spans="1:8" x14ac:dyDescent="0.3">
      <c r="A41" s="4" t="s">
        <v>79</v>
      </c>
      <c r="B41" s="4" t="s">
        <v>9</v>
      </c>
      <c r="C41" s="5">
        <v>23600000</v>
      </c>
      <c r="D41" s="3" t="s">
        <v>201</v>
      </c>
      <c r="E41" s="6"/>
      <c r="F41" s="3"/>
      <c r="G41" s="4" t="s">
        <v>15</v>
      </c>
      <c r="H41" s="4" t="s">
        <v>16</v>
      </c>
    </row>
    <row r="42" spans="1:8" x14ac:dyDescent="0.3">
      <c r="A42" s="4" t="s">
        <v>80</v>
      </c>
      <c r="B42" s="4" t="s">
        <v>13</v>
      </c>
      <c r="C42" s="5">
        <v>1141200</v>
      </c>
      <c r="D42" s="7" t="s">
        <v>115</v>
      </c>
      <c r="E42" s="6">
        <v>23480951</v>
      </c>
      <c r="F42" s="3"/>
      <c r="G42" s="4" t="s">
        <v>15</v>
      </c>
      <c r="H42" s="4" t="s">
        <v>16</v>
      </c>
    </row>
    <row r="43" spans="1:8" x14ac:dyDescent="0.3">
      <c r="A43" s="4" t="s">
        <v>81</v>
      </c>
      <c r="B43" s="4" t="s">
        <v>9</v>
      </c>
      <c r="C43" s="5">
        <v>2322100</v>
      </c>
      <c r="D43" s="3" t="s">
        <v>82</v>
      </c>
      <c r="E43" s="6">
        <v>21228150</v>
      </c>
      <c r="F43" s="3"/>
      <c r="G43" s="4" t="s">
        <v>11</v>
      </c>
    </row>
    <row r="44" spans="1:8" x14ac:dyDescent="0.3">
      <c r="A44" s="4" t="s">
        <v>83</v>
      </c>
      <c r="B44" s="4" t="s">
        <v>13</v>
      </c>
      <c r="C44" s="5">
        <v>9806750</v>
      </c>
      <c r="D44" s="16" t="s">
        <v>313</v>
      </c>
      <c r="E44" s="6" t="s">
        <v>449</v>
      </c>
      <c r="F44" s="3"/>
      <c r="G44" s="4" t="s">
        <v>15</v>
      </c>
      <c r="H44" s="4" t="s">
        <v>16</v>
      </c>
    </row>
    <row r="45" spans="1:8" x14ac:dyDescent="0.3">
      <c r="A45" s="4" t="s">
        <v>85</v>
      </c>
      <c r="B45" s="4" t="s">
        <v>13</v>
      </c>
      <c r="C45" s="5">
        <v>9752100</v>
      </c>
      <c r="D45" s="3" t="s">
        <v>86</v>
      </c>
      <c r="E45" s="6">
        <v>170319</v>
      </c>
      <c r="F45" s="3" t="s">
        <v>445</v>
      </c>
      <c r="G45" s="4" t="s">
        <v>15</v>
      </c>
      <c r="H45" s="4" t="s">
        <v>16</v>
      </c>
    </row>
    <row r="46" spans="1:8" x14ac:dyDescent="0.3">
      <c r="A46" s="4" t="s">
        <v>87</v>
      </c>
      <c r="B46" s="4" t="s">
        <v>13</v>
      </c>
      <c r="C46" s="5">
        <v>4858300</v>
      </c>
      <c r="D46" s="3" t="s">
        <v>88</v>
      </c>
      <c r="E46" s="6"/>
      <c r="F46" s="3"/>
      <c r="G46" s="4" t="s">
        <v>15</v>
      </c>
      <c r="H46" s="4" t="s">
        <v>16</v>
      </c>
    </row>
    <row r="47" spans="1:8" x14ac:dyDescent="0.3">
      <c r="A47" s="4" t="s">
        <v>89</v>
      </c>
      <c r="B47" s="4" t="s">
        <v>13</v>
      </c>
      <c r="C47" s="5">
        <v>9067000</v>
      </c>
      <c r="D47" s="3" t="s">
        <v>90</v>
      </c>
      <c r="E47" s="6"/>
      <c r="F47" s="3"/>
      <c r="G47" s="4" t="s">
        <v>15</v>
      </c>
      <c r="H47" s="4" t="s">
        <v>16</v>
      </c>
    </row>
    <row r="48" spans="1:8" x14ac:dyDescent="0.3">
      <c r="A48" s="4" t="s">
        <v>91</v>
      </c>
      <c r="B48" s="4" t="s">
        <v>9</v>
      </c>
      <c r="C48" s="5">
        <v>3700000</v>
      </c>
      <c r="D48" s="7" t="s">
        <v>92</v>
      </c>
      <c r="E48" s="6">
        <v>20498556</v>
      </c>
      <c r="F48" s="3"/>
      <c r="G48" s="4" t="s">
        <v>11</v>
      </c>
    </row>
    <row r="49" spans="1:8" x14ac:dyDescent="0.3">
      <c r="A49" s="4" t="s">
        <v>419</v>
      </c>
      <c r="B49" s="4" t="s">
        <v>25</v>
      </c>
      <c r="D49" s="7" t="s">
        <v>420</v>
      </c>
      <c r="E49" s="6"/>
      <c r="F49" s="3"/>
    </row>
    <row r="50" spans="1:8" x14ac:dyDescent="0.3">
      <c r="A50" s="4" t="s">
        <v>93</v>
      </c>
      <c r="B50" s="4" t="s">
        <v>13</v>
      </c>
      <c r="C50" s="5">
        <v>3247700</v>
      </c>
      <c r="D50" s="3" t="s">
        <v>259</v>
      </c>
      <c r="E50" s="6">
        <v>159410</v>
      </c>
      <c r="F50" s="3" t="s">
        <v>440</v>
      </c>
      <c r="G50" s="4" t="s">
        <v>15</v>
      </c>
      <c r="H50" s="4" t="s">
        <v>16</v>
      </c>
    </row>
    <row r="51" spans="1:8" x14ac:dyDescent="0.3">
      <c r="A51" s="4" t="s">
        <v>95</v>
      </c>
      <c r="B51" s="4" t="s">
        <v>13</v>
      </c>
      <c r="C51" s="5">
        <v>2265000</v>
      </c>
      <c r="D51" s="7" t="s">
        <v>434</v>
      </c>
      <c r="E51" s="6" t="s">
        <v>435</v>
      </c>
      <c r="F51" s="3" t="s">
        <v>436</v>
      </c>
      <c r="G51" s="4" t="s">
        <v>15</v>
      </c>
      <c r="H51" s="4" t="s">
        <v>16</v>
      </c>
    </row>
    <row r="52" spans="1:8" x14ac:dyDescent="0.3">
      <c r="A52" s="4" t="s">
        <v>96</v>
      </c>
      <c r="B52" s="4" t="s">
        <v>13</v>
      </c>
      <c r="C52" s="5">
        <v>2889750</v>
      </c>
      <c r="D52" s="7" t="s">
        <v>437</v>
      </c>
      <c r="E52" s="6">
        <v>157337</v>
      </c>
      <c r="F52" s="19" t="s">
        <v>438</v>
      </c>
      <c r="G52" s="4" t="s">
        <v>15</v>
      </c>
      <c r="H52" s="4" t="s">
        <v>16</v>
      </c>
    </row>
    <row r="53" spans="1:8" x14ac:dyDescent="0.3">
      <c r="A53" s="4" t="s">
        <v>98</v>
      </c>
      <c r="B53" s="4" t="s">
        <v>9</v>
      </c>
      <c r="C53" s="5">
        <v>2713050</v>
      </c>
      <c r="D53" s="3" t="s">
        <v>99</v>
      </c>
      <c r="E53" s="6">
        <v>21228152</v>
      </c>
      <c r="F53" s="3"/>
      <c r="G53" s="4" t="s">
        <v>11</v>
      </c>
    </row>
    <row r="54" spans="1:8" x14ac:dyDescent="0.3">
      <c r="A54" s="4" t="s">
        <v>100</v>
      </c>
      <c r="B54" s="4" t="s">
        <v>9</v>
      </c>
      <c r="C54" s="5">
        <v>4018100</v>
      </c>
      <c r="D54" s="8" t="s">
        <v>326</v>
      </c>
      <c r="E54" s="9">
        <v>6500521</v>
      </c>
      <c r="F54" s="7"/>
      <c r="G54" s="7" t="s">
        <v>11</v>
      </c>
    </row>
    <row r="55" spans="1:8" x14ac:dyDescent="0.3">
      <c r="A55" s="4" t="s">
        <v>102</v>
      </c>
      <c r="B55" s="4" t="s">
        <v>9</v>
      </c>
      <c r="C55" s="5">
        <v>6660000</v>
      </c>
      <c r="D55" s="3" t="s">
        <v>103</v>
      </c>
      <c r="E55" s="6">
        <v>879637</v>
      </c>
      <c r="F55" s="3"/>
      <c r="G55" s="4" t="s">
        <v>11</v>
      </c>
    </row>
    <row r="56" spans="1:8" x14ac:dyDescent="0.3">
      <c r="A56" s="4" t="s">
        <v>104</v>
      </c>
      <c r="B56" s="4" t="s">
        <v>9</v>
      </c>
      <c r="C56" s="5">
        <v>7325550</v>
      </c>
      <c r="D56" s="3" t="s">
        <v>105</v>
      </c>
      <c r="E56" s="6">
        <v>750105</v>
      </c>
      <c r="F56" s="3"/>
      <c r="G56" s="4" t="s">
        <v>11</v>
      </c>
    </row>
    <row r="57" spans="1:8" x14ac:dyDescent="0.3">
      <c r="A57" s="4" t="s">
        <v>106</v>
      </c>
      <c r="B57" s="4" t="s">
        <v>13</v>
      </c>
      <c r="C57" s="5">
        <v>7839100</v>
      </c>
      <c r="D57" s="3" t="s">
        <v>107</v>
      </c>
      <c r="E57" s="6" t="s">
        <v>430</v>
      </c>
      <c r="F57" s="3" t="s">
        <v>392</v>
      </c>
      <c r="G57" s="4" t="s">
        <v>15</v>
      </c>
      <c r="H57" s="4" t="s">
        <v>16</v>
      </c>
    </row>
    <row r="58" spans="1:8" x14ac:dyDescent="0.3">
      <c r="A58" s="4" t="s">
        <v>108</v>
      </c>
      <c r="B58" s="4" t="s">
        <v>13</v>
      </c>
      <c r="C58" s="5">
        <v>9050680</v>
      </c>
      <c r="D58" s="7" t="s">
        <v>135</v>
      </c>
      <c r="E58" s="6">
        <v>22889034</v>
      </c>
      <c r="F58" s="3"/>
      <c r="G58" s="4" t="s">
        <v>15</v>
      </c>
      <c r="H58" s="4" t="s">
        <v>16</v>
      </c>
    </row>
    <row r="59" spans="1:8" x14ac:dyDescent="0.3">
      <c r="A59" s="4" t="s">
        <v>109</v>
      </c>
      <c r="B59" s="4" t="s">
        <v>9</v>
      </c>
      <c r="C59" s="5">
        <v>4336250</v>
      </c>
      <c r="D59" s="3" t="s">
        <v>110</v>
      </c>
      <c r="E59" s="6">
        <v>4549789</v>
      </c>
      <c r="F59" s="3"/>
      <c r="G59" s="4" t="s">
        <v>11</v>
      </c>
    </row>
    <row r="60" spans="1:8" x14ac:dyDescent="0.3">
      <c r="A60" s="4" t="s">
        <v>111</v>
      </c>
      <c r="B60" s="4" t="s">
        <v>25</v>
      </c>
      <c r="C60" s="5">
        <v>6769500</v>
      </c>
      <c r="D60" s="16" t="s">
        <v>82</v>
      </c>
      <c r="E60" s="15">
        <v>26619</v>
      </c>
      <c r="F60" s="16"/>
      <c r="G60" s="4" t="s">
        <v>15</v>
      </c>
      <c r="H60" s="4" t="s">
        <v>27</v>
      </c>
    </row>
    <row r="61" spans="1:8" x14ac:dyDescent="0.3">
      <c r="A61" s="4" t="s">
        <v>113</v>
      </c>
      <c r="B61" s="4" t="s">
        <v>25</v>
      </c>
      <c r="C61" s="5">
        <v>16432660</v>
      </c>
      <c r="D61" s="3" t="s">
        <v>92</v>
      </c>
      <c r="E61" s="6" t="s">
        <v>441</v>
      </c>
      <c r="F61" s="3" t="s">
        <v>442</v>
      </c>
      <c r="G61" s="4" t="s">
        <v>15</v>
      </c>
      <c r="H61" s="4" t="s">
        <v>27</v>
      </c>
    </row>
    <row r="62" spans="1:8" s="10" customFormat="1" ht="15" thickBot="1" x14ac:dyDescent="0.35">
      <c r="A62" s="10" t="s">
        <v>114</v>
      </c>
      <c r="B62" s="4"/>
      <c r="C62" s="11">
        <f>SUM(C2:C61)</f>
        <v>280882230</v>
      </c>
      <c r="D62" s="4"/>
    </row>
    <row r="63" spans="1:8" ht="15" thickTop="1" x14ac:dyDescent="0.3"/>
    <row r="68" spans="4:4" x14ac:dyDescent="0.3">
      <c r="D68" s="12"/>
    </row>
  </sheetData>
  <conditionalFormatting sqref="F14:F15 I20:I27">
    <cfRule type="containsText" dxfId="239" priority="65" operator="containsText" text="No">
      <formula>NOT(ISERROR(SEARCH("No",F14)))</formula>
    </cfRule>
    <cfRule type="containsText" dxfId="238" priority="66" operator="containsText" text="Yes">
      <formula>NOT(ISERROR(SEARCH("Yes",F14)))</formula>
    </cfRule>
  </conditionalFormatting>
  <conditionalFormatting sqref="G1">
    <cfRule type="containsText" dxfId="237" priority="87" operator="containsText" text="No">
      <formula>NOT(ISERROR(SEARCH("No",G1)))</formula>
    </cfRule>
    <cfRule type="containsText" dxfId="236" priority="88" operator="containsText" text="Yes">
      <formula>NOT(ISERROR(SEARCH("Yes",G1)))</formula>
    </cfRule>
  </conditionalFormatting>
  <conditionalFormatting sqref="G16 G19">
    <cfRule type="containsText" dxfId="235" priority="77" operator="containsText" text="No">
      <formula>NOT(ISERROR(SEARCH("No",G16)))</formula>
    </cfRule>
    <cfRule type="containsText" dxfId="234" priority="78" operator="containsText" text="Yes">
      <formula>NOT(ISERROR(SEARCH("Yes",G16)))</formula>
    </cfRule>
  </conditionalFormatting>
  <conditionalFormatting sqref="G29">
    <cfRule type="containsText" dxfId="233" priority="75" operator="containsText" text="No">
      <formula>NOT(ISERROR(SEARCH("No",G29)))</formula>
    </cfRule>
    <cfRule type="containsText" dxfId="232" priority="76" operator="containsText" text="Yes">
      <formula>NOT(ISERROR(SEARCH("Yes",G29)))</formula>
    </cfRule>
  </conditionalFormatting>
  <conditionalFormatting sqref="G40">
    <cfRule type="containsText" dxfId="231" priority="91" operator="containsText" text="No">
      <formula>NOT(ISERROR(SEARCH("No",G40)))</formula>
    </cfRule>
    <cfRule type="containsText" dxfId="230" priority="92" operator="containsText" text="Yes">
      <formula>NOT(ISERROR(SEARCH("Yes",G40)))</formula>
    </cfRule>
  </conditionalFormatting>
  <conditionalFormatting sqref="G43">
    <cfRule type="containsText" dxfId="229" priority="85" operator="containsText" text="No">
      <formula>NOT(ISERROR(SEARCH("No",G43)))</formula>
    </cfRule>
    <cfRule type="containsText" dxfId="228" priority="86" operator="containsText" text="Yes">
      <formula>NOT(ISERROR(SEARCH("Yes",G43)))</formula>
    </cfRule>
  </conditionalFormatting>
  <conditionalFormatting sqref="G53">
    <cfRule type="containsText" dxfId="227" priority="83" operator="containsText" text="No">
      <formula>NOT(ISERROR(SEARCH("No",G53)))</formula>
    </cfRule>
    <cfRule type="containsText" dxfId="226" priority="84" operator="containsText" text="Yes">
      <formula>NOT(ISERROR(SEARCH("Yes",G53)))</formula>
    </cfRule>
  </conditionalFormatting>
  <conditionalFormatting sqref="G62:G1048576">
    <cfRule type="containsText" dxfId="225" priority="89" operator="containsText" text="No">
      <formula>NOT(ISERROR(SEARCH("No",G62)))</formula>
    </cfRule>
    <cfRule type="containsText" dxfId="224" priority="90" operator="containsText" text="Yes">
      <formula>NOT(ISERROR(SEARCH("Yes",G62)))</formula>
    </cfRule>
  </conditionalFormatting>
  <conditionalFormatting sqref="G2:H7">
    <cfRule type="containsText" dxfId="223" priority="1" operator="containsText" text="No">
      <formula>NOT(ISERROR(SEARCH("No",G2)))</formula>
    </cfRule>
    <cfRule type="containsText" dxfId="222" priority="2" operator="containsText" text="Yes">
      <formula>NOT(ISERROR(SEARCH("Yes",G2)))</formula>
    </cfRule>
  </conditionalFormatting>
  <conditionalFormatting sqref="G20:H28">
    <cfRule type="containsText" dxfId="221" priority="19" operator="containsText" text="No">
      <formula>NOT(ISERROR(SEARCH("No",G20)))</formula>
    </cfRule>
    <cfRule type="containsText" dxfId="220" priority="20" operator="containsText" text="Yes">
      <formula>NOT(ISERROR(SEARCH("Yes",G20)))</formula>
    </cfRule>
  </conditionalFormatting>
  <conditionalFormatting sqref="G30:H39">
    <cfRule type="containsText" dxfId="219" priority="9" operator="containsText" text="No">
      <formula>NOT(ISERROR(SEARCH("No",G30)))</formula>
    </cfRule>
    <cfRule type="containsText" dxfId="218" priority="10" operator="containsText" text="Yes">
      <formula>NOT(ISERROR(SEARCH("Yes",G30)))</formula>
    </cfRule>
  </conditionalFormatting>
  <conditionalFormatting sqref="G41:H42">
    <cfRule type="containsText" dxfId="217" priority="21" operator="containsText" text="No">
      <formula>NOT(ISERROR(SEARCH("No",G41)))</formula>
    </cfRule>
    <cfRule type="containsText" dxfId="216" priority="22" operator="containsText" text="Yes">
      <formula>NOT(ISERROR(SEARCH("Yes",G41)))</formula>
    </cfRule>
  </conditionalFormatting>
  <conditionalFormatting sqref="G44:H52">
    <cfRule type="containsText" dxfId="215" priority="5" operator="containsText" text="No">
      <formula>NOT(ISERROR(SEARCH("No",G44)))</formula>
    </cfRule>
    <cfRule type="containsText" dxfId="214" priority="6" operator="containsText" text="Yes">
      <formula>NOT(ISERROR(SEARCH("Yes",G44)))</formula>
    </cfRule>
  </conditionalFormatting>
  <conditionalFormatting sqref="G54:H61">
    <cfRule type="containsText" dxfId="213" priority="45" operator="containsText" text="No">
      <formula>NOT(ISERROR(SEARCH("No",G54)))</formula>
    </cfRule>
    <cfRule type="containsText" dxfId="212" priority="46" operator="containsText" text="Yes">
      <formula>NOT(ISERROR(SEARCH("Yes",G54)))</formula>
    </cfRule>
  </conditionalFormatting>
  <conditionalFormatting sqref="G8:I15">
    <cfRule type="containsText" dxfId="211" priority="29" operator="containsText" text="No">
      <formula>NOT(ISERROR(SEARCH("No",G8)))</formula>
    </cfRule>
    <cfRule type="containsText" dxfId="210" priority="30" operator="containsText" text="Yes">
      <formula>NOT(ISERROR(SEARCH("Yes",G8)))</formula>
    </cfRule>
  </conditionalFormatting>
  <conditionalFormatting sqref="G17:I18">
    <cfRule type="containsText" dxfId="209" priority="15" operator="containsText" text="No">
      <formula>NOT(ISERROR(SEARCH("No",G17)))</formula>
    </cfRule>
    <cfRule type="containsText" dxfId="208" priority="16" operator="containsText" text="Yes">
      <formula>NOT(ISERROR(SEARCH("Yes",G17)))</formula>
    </cfRule>
  </conditionalFormatting>
  <conditionalFormatting sqref="H28">
    <cfRule type="containsText" dxfId="207" priority="79" operator="containsText" text="No">
      <formula>NOT(ISERROR(SEARCH("No",H28)))</formula>
    </cfRule>
    <cfRule type="containsText" dxfId="206" priority="80" operator="containsText" text="Yes">
      <formula>NOT(ISERROR(SEARCH("Yes",H28)))</formula>
    </cfRule>
  </conditionalFormatting>
  <conditionalFormatting sqref="I20">
    <cfRule type="containsText" dxfId="205" priority="81" operator="containsText" text="No">
      <formula>NOT(ISERROR(SEARCH("No",I20)))</formula>
    </cfRule>
    <cfRule type="containsText" dxfId="204" priority="82" operator="containsText" text="Yes">
      <formula>NOT(ISERROR(SEARCH("Yes",I20)))</formula>
    </cfRule>
  </conditionalFormatting>
  <conditionalFormatting sqref="I30">
    <cfRule type="containsText" dxfId="203" priority="73" operator="containsText" text="No">
      <formula>NOT(ISERROR(SEARCH("No",I30)))</formula>
    </cfRule>
    <cfRule type="containsText" dxfId="202" priority="74" operator="containsText" text="Yes">
      <formula>NOT(ISERROR(SEARCH("Yes",I30)))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13737-8FED-4C7B-B799-8E6F55DE454E}">
  <dimension ref="A1:I6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XFD1048576"/>
    </sheetView>
  </sheetViews>
  <sheetFormatPr defaultColWidth="10" defaultRowHeight="14.4" x14ac:dyDescent="0.3"/>
  <cols>
    <col min="1" max="1" width="17.5546875" style="4" bestFit="1" customWidth="1"/>
    <col min="2" max="2" width="12.33203125" style="4" bestFit="1" customWidth="1"/>
    <col min="3" max="3" width="18.5546875" style="5" bestFit="1" customWidth="1"/>
    <col min="4" max="4" width="23.88671875" style="4" bestFit="1" customWidth="1"/>
    <col min="5" max="5" width="16.6640625" style="4" bestFit="1" customWidth="1"/>
    <col min="6" max="6" width="14.6640625" style="4" bestFit="1" customWidth="1"/>
    <col min="7" max="7" width="14.6640625" style="4" customWidth="1"/>
    <col min="8" max="8" width="12.109375" style="4" bestFit="1" customWidth="1"/>
    <col min="9" max="9" width="4.33203125" style="4" customWidth="1"/>
    <col min="10" max="16384" width="10" style="4"/>
  </cols>
  <sheetData>
    <row r="1" spans="1:9" s="1" customForma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s="1" customFormat="1" x14ac:dyDescent="0.3">
      <c r="A2" s="3" t="s">
        <v>8</v>
      </c>
      <c r="B2" s="4" t="s">
        <v>9</v>
      </c>
      <c r="C2" s="5">
        <v>2606600</v>
      </c>
      <c r="D2" s="3" t="s">
        <v>10</v>
      </c>
      <c r="E2" s="6">
        <v>20797</v>
      </c>
      <c r="F2" s="3"/>
      <c r="G2" s="4" t="s">
        <v>11</v>
      </c>
      <c r="H2" s="4"/>
      <c r="I2" s="3"/>
    </row>
    <row r="3" spans="1:9" x14ac:dyDescent="0.3">
      <c r="A3" s="4" t="s">
        <v>12</v>
      </c>
      <c r="B3" s="4" t="s">
        <v>13</v>
      </c>
      <c r="C3" s="5">
        <v>1136500</v>
      </c>
      <c r="D3" s="3" t="s">
        <v>14</v>
      </c>
      <c r="E3" s="6">
        <v>171151</v>
      </c>
      <c r="F3" s="16"/>
      <c r="G3" s="4" t="s">
        <v>15</v>
      </c>
      <c r="H3" s="4" t="s">
        <v>16</v>
      </c>
    </row>
    <row r="4" spans="1:9" x14ac:dyDescent="0.3">
      <c r="A4" s="4" t="s">
        <v>17</v>
      </c>
      <c r="D4" s="3"/>
      <c r="E4" s="6"/>
      <c r="F4" s="3"/>
    </row>
    <row r="5" spans="1:9" x14ac:dyDescent="0.3">
      <c r="A5" s="4" t="s">
        <v>18</v>
      </c>
      <c r="B5" s="4" t="s">
        <v>13</v>
      </c>
      <c r="C5" s="5">
        <v>1175150</v>
      </c>
      <c r="D5" s="3" t="s">
        <v>19</v>
      </c>
      <c r="E5" s="6">
        <v>23480944</v>
      </c>
      <c r="F5" s="3"/>
      <c r="G5" s="4" t="s">
        <v>15</v>
      </c>
      <c r="H5" s="4" t="s">
        <v>16</v>
      </c>
    </row>
    <row r="6" spans="1:9" x14ac:dyDescent="0.3">
      <c r="A6" s="4" t="s">
        <v>20</v>
      </c>
      <c r="B6" s="4" t="s">
        <v>13</v>
      </c>
      <c r="C6" s="5">
        <v>780100</v>
      </c>
      <c r="D6" s="3" t="s">
        <v>21</v>
      </c>
      <c r="E6" s="6">
        <v>25461229</v>
      </c>
      <c r="F6" s="3"/>
      <c r="G6" s="4" t="s">
        <v>15</v>
      </c>
      <c r="H6" s="4" t="s">
        <v>16</v>
      </c>
    </row>
    <row r="7" spans="1:9" x14ac:dyDescent="0.3">
      <c r="A7" s="4" t="s">
        <v>22</v>
      </c>
      <c r="B7" s="4" t="s">
        <v>13</v>
      </c>
      <c r="C7" s="5">
        <v>1705600</v>
      </c>
      <c r="D7" s="3" t="s">
        <v>23</v>
      </c>
      <c r="E7" s="6">
        <v>23480751</v>
      </c>
      <c r="F7" s="3"/>
      <c r="G7" s="4" t="s">
        <v>15</v>
      </c>
      <c r="H7" s="4" t="s">
        <v>16</v>
      </c>
    </row>
    <row r="8" spans="1:9" x14ac:dyDescent="0.3">
      <c r="A8" s="4" t="s">
        <v>24</v>
      </c>
      <c r="B8" s="4" t="s">
        <v>25</v>
      </c>
      <c r="C8" s="5">
        <v>1247650</v>
      </c>
      <c r="D8" s="16" t="s">
        <v>26</v>
      </c>
      <c r="E8" s="6">
        <v>222914</v>
      </c>
      <c r="F8" s="3"/>
      <c r="G8" s="4" t="s">
        <v>15</v>
      </c>
      <c r="H8" s="4" t="s">
        <v>27</v>
      </c>
    </row>
    <row r="9" spans="1:9" x14ac:dyDescent="0.3">
      <c r="A9" s="4" t="s">
        <v>28</v>
      </c>
      <c r="B9" s="4" t="s">
        <v>13</v>
      </c>
      <c r="C9" s="5">
        <v>622300</v>
      </c>
      <c r="D9" s="3" t="s">
        <v>29</v>
      </c>
      <c r="E9" s="6">
        <v>23480936</v>
      </c>
      <c r="F9" s="3"/>
      <c r="G9" s="4" t="s">
        <v>15</v>
      </c>
      <c r="H9" s="4" t="s">
        <v>16</v>
      </c>
    </row>
    <row r="10" spans="1:9" x14ac:dyDescent="0.3">
      <c r="A10" s="4" t="s">
        <v>30</v>
      </c>
      <c r="B10" s="4" t="s">
        <v>25</v>
      </c>
      <c r="C10" s="5">
        <v>4584600</v>
      </c>
      <c r="D10" s="3" t="s">
        <v>136</v>
      </c>
      <c r="E10" s="6" t="s">
        <v>469</v>
      </c>
      <c r="F10" s="3" t="s">
        <v>470</v>
      </c>
      <c r="G10" s="4" t="s">
        <v>11</v>
      </c>
    </row>
    <row r="11" spans="1:9" x14ac:dyDescent="0.3">
      <c r="A11" s="4" t="s">
        <v>31</v>
      </c>
      <c r="B11" s="4" t="s">
        <v>9</v>
      </c>
      <c r="D11" s="3" t="s">
        <v>152</v>
      </c>
      <c r="E11" s="6"/>
      <c r="F11" s="3"/>
    </row>
    <row r="12" spans="1:9" x14ac:dyDescent="0.3">
      <c r="A12" s="4" t="s">
        <v>32</v>
      </c>
      <c r="B12" s="4" t="s">
        <v>9</v>
      </c>
      <c r="C12" s="5">
        <v>3862750</v>
      </c>
      <c r="D12" s="16" t="s">
        <v>137</v>
      </c>
      <c r="E12" s="6">
        <v>2042379</v>
      </c>
      <c r="F12" s="3"/>
      <c r="G12" s="4" t="s">
        <v>11</v>
      </c>
    </row>
    <row r="13" spans="1:9" x14ac:dyDescent="0.3">
      <c r="A13" s="4" t="s">
        <v>33</v>
      </c>
      <c r="B13" s="4" t="s">
        <v>13</v>
      </c>
      <c r="C13" s="5">
        <v>1905820</v>
      </c>
      <c r="D13" s="3" t="s">
        <v>323</v>
      </c>
      <c r="E13" s="6" t="s">
        <v>450</v>
      </c>
      <c r="F13" s="3" t="s">
        <v>454</v>
      </c>
      <c r="G13" s="4" t="s">
        <v>15</v>
      </c>
      <c r="H13" s="4" t="s">
        <v>16</v>
      </c>
    </row>
    <row r="14" spans="1:9" x14ac:dyDescent="0.3">
      <c r="A14" s="4" t="s">
        <v>35</v>
      </c>
      <c r="B14" s="4" t="s">
        <v>13</v>
      </c>
      <c r="C14" s="5">
        <v>368500</v>
      </c>
      <c r="D14" s="3" t="s">
        <v>408</v>
      </c>
      <c r="E14" s="6"/>
      <c r="G14" s="4" t="s">
        <v>15</v>
      </c>
      <c r="H14" s="4" t="s">
        <v>16</v>
      </c>
    </row>
    <row r="15" spans="1:9" x14ac:dyDescent="0.3">
      <c r="A15" s="4" t="s">
        <v>37</v>
      </c>
      <c r="B15" s="4" t="s">
        <v>13</v>
      </c>
      <c r="C15" s="5">
        <v>1264640</v>
      </c>
      <c r="D15" s="3" t="s">
        <v>38</v>
      </c>
      <c r="E15" s="6" t="s">
        <v>450</v>
      </c>
      <c r="F15" s="4" t="s">
        <v>451</v>
      </c>
      <c r="G15" s="4" t="s">
        <v>15</v>
      </c>
      <c r="H15" s="4" t="s">
        <v>16</v>
      </c>
    </row>
    <row r="16" spans="1:9" x14ac:dyDescent="0.3">
      <c r="A16" s="4" t="s">
        <v>39</v>
      </c>
      <c r="D16" s="3"/>
      <c r="E16" s="6"/>
      <c r="F16" s="3"/>
    </row>
    <row r="17" spans="1:8" x14ac:dyDescent="0.3">
      <c r="A17" s="4" t="s">
        <v>40</v>
      </c>
      <c r="B17" s="4" t="s">
        <v>13</v>
      </c>
      <c r="C17" s="5">
        <v>1293000</v>
      </c>
      <c r="D17" s="3" t="s">
        <v>41</v>
      </c>
      <c r="E17" s="6">
        <v>24596193</v>
      </c>
      <c r="F17" s="3"/>
      <c r="G17" s="4" t="s">
        <v>15</v>
      </c>
      <c r="H17" s="4" t="s">
        <v>16</v>
      </c>
    </row>
    <row r="18" spans="1:8" x14ac:dyDescent="0.3">
      <c r="A18" s="4" t="s">
        <v>42</v>
      </c>
      <c r="B18" s="4" t="s">
        <v>13</v>
      </c>
      <c r="C18" s="5">
        <v>1363100</v>
      </c>
      <c r="D18" s="3" t="s">
        <v>128</v>
      </c>
      <c r="E18" s="6"/>
      <c r="F18" s="3"/>
      <c r="G18" s="4" t="s">
        <v>15</v>
      </c>
      <c r="H18" s="4" t="s">
        <v>16</v>
      </c>
    </row>
    <row r="19" spans="1:8" x14ac:dyDescent="0.3">
      <c r="A19" s="4" t="s">
        <v>43</v>
      </c>
      <c r="D19" s="3"/>
      <c r="E19" s="6"/>
      <c r="F19" s="3"/>
    </row>
    <row r="20" spans="1:8" x14ac:dyDescent="0.3">
      <c r="A20" s="4" t="s">
        <v>44</v>
      </c>
      <c r="B20" s="4" t="s">
        <v>25</v>
      </c>
      <c r="C20" s="5">
        <v>3366700</v>
      </c>
      <c r="D20" s="3" t="s">
        <v>45</v>
      </c>
      <c r="E20" s="6" t="s">
        <v>465</v>
      </c>
      <c r="F20" s="3" t="s">
        <v>466</v>
      </c>
      <c r="G20" s="4" t="s">
        <v>15</v>
      </c>
      <c r="H20" s="4" t="s">
        <v>27</v>
      </c>
    </row>
    <row r="21" spans="1:8" x14ac:dyDescent="0.3">
      <c r="A21" s="4" t="s">
        <v>46</v>
      </c>
      <c r="B21" s="4" t="s">
        <v>25</v>
      </c>
      <c r="C21" s="5">
        <v>1189600</v>
      </c>
      <c r="D21" s="3" t="s">
        <v>320</v>
      </c>
      <c r="E21" s="6" t="s">
        <v>452</v>
      </c>
      <c r="F21" s="3" t="s">
        <v>453</v>
      </c>
      <c r="G21" s="4" t="s">
        <v>15</v>
      </c>
      <c r="H21" s="4" t="s">
        <v>27</v>
      </c>
    </row>
    <row r="22" spans="1:8" x14ac:dyDescent="0.3">
      <c r="A22" s="4" t="s">
        <v>49</v>
      </c>
      <c r="B22" s="4" t="s">
        <v>13</v>
      </c>
      <c r="C22" s="5">
        <v>1683920</v>
      </c>
      <c r="D22" s="3" t="s">
        <v>50</v>
      </c>
      <c r="E22" s="6">
        <v>166247</v>
      </c>
      <c r="F22" s="3" t="s">
        <v>457</v>
      </c>
      <c r="G22" s="4" t="s">
        <v>15</v>
      </c>
      <c r="H22" s="4" t="s">
        <v>16</v>
      </c>
    </row>
    <row r="23" spans="1:8" x14ac:dyDescent="0.3">
      <c r="A23" s="4" t="s">
        <v>51</v>
      </c>
      <c r="B23" s="4" t="s">
        <v>13</v>
      </c>
      <c r="C23" s="5">
        <v>2710150</v>
      </c>
      <c r="D23" s="5" t="s">
        <v>215</v>
      </c>
      <c r="E23" s="6">
        <v>160892</v>
      </c>
      <c r="F23" s="3" t="s">
        <v>456</v>
      </c>
      <c r="G23" s="4" t="s">
        <v>15</v>
      </c>
      <c r="H23" s="4" t="s">
        <v>16</v>
      </c>
    </row>
    <row r="24" spans="1:8" x14ac:dyDescent="0.3">
      <c r="A24" s="4" t="s">
        <v>52</v>
      </c>
      <c r="B24" s="4" t="s">
        <v>13</v>
      </c>
      <c r="C24" s="5">
        <v>782600</v>
      </c>
      <c r="D24" s="3" t="s">
        <v>294</v>
      </c>
      <c r="E24" s="6">
        <v>25461190</v>
      </c>
      <c r="F24" s="3"/>
      <c r="G24" s="4" t="s">
        <v>15</v>
      </c>
      <c r="H24" s="4" t="s">
        <v>16</v>
      </c>
    </row>
    <row r="25" spans="1:8" x14ac:dyDescent="0.3">
      <c r="A25" s="4" t="s">
        <v>53</v>
      </c>
      <c r="B25" s="4" t="s">
        <v>9</v>
      </c>
      <c r="C25" s="5">
        <v>5048800</v>
      </c>
      <c r="D25" s="3" t="s">
        <v>54</v>
      </c>
      <c r="E25" s="6">
        <v>6472860</v>
      </c>
      <c r="F25" s="3"/>
      <c r="G25" s="4" t="s">
        <v>11</v>
      </c>
    </row>
    <row r="26" spans="1:8" x14ac:dyDescent="0.3">
      <c r="A26" s="4" t="s">
        <v>55</v>
      </c>
      <c r="B26" s="4" t="s">
        <v>13</v>
      </c>
      <c r="C26" s="5">
        <v>1067800</v>
      </c>
      <c r="D26" s="3" t="s">
        <v>56</v>
      </c>
      <c r="E26" s="6"/>
      <c r="F26" s="3"/>
      <c r="G26" s="4" t="s">
        <v>15</v>
      </c>
      <c r="H26" s="4" t="s">
        <v>16</v>
      </c>
    </row>
    <row r="27" spans="1:8" x14ac:dyDescent="0.3">
      <c r="A27" s="4" t="s">
        <v>57</v>
      </c>
      <c r="B27" s="4" t="s">
        <v>13</v>
      </c>
      <c r="C27" s="5">
        <v>925680</v>
      </c>
      <c r="D27" s="3" t="s">
        <v>58</v>
      </c>
      <c r="E27" s="6">
        <v>167314</v>
      </c>
      <c r="F27" s="3" t="s">
        <v>459</v>
      </c>
      <c r="G27" s="4" t="s">
        <v>15</v>
      </c>
      <c r="H27" s="4" t="s">
        <v>16</v>
      </c>
    </row>
    <row r="28" spans="1:8" x14ac:dyDescent="0.3">
      <c r="A28" s="4" t="s">
        <v>59</v>
      </c>
      <c r="B28" s="4" t="s">
        <v>25</v>
      </c>
      <c r="D28" s="3" t="s">
        <v>414</v>
      </c>
      <c r="E28" s="6"/>
      <c r="F28" s="3"/>
      <c r="G28" s="7"/>
      <c r="H28" s="5"/>
    </row>
    <row r="29" spans="1:8" x14ac:dyDescent="0.3">
      <c r="A29" s="4" t="s">
        <v>60</v>
      </c>
      <c r="D29" s="3"/>
      <c r="E29" s="6"/>
      <c r="F29" s="3"/>
    </row>
    <row r="30" spans="1:8" x14ac:dyDescent="0.3">
      <c r="A30" s="4" t="s">
        <v>61</v>
      </c>
      <c r="B30" s="4" t="s">
        <v>13</v>
      </c>
      <c r="C30" s="5">
        <v>8807300</v>
      </c>
      <c r="D30" s="3" t="s">
        <v>243</v>
      </c>
      <c r="E30" s="6"/>
      <c r="F30" s="3"/>
      <c r="G30" s="4" t="s">
        <v>15</v>
      </c>
      <c r="H30" s="4" t="s">
        <v>16</v>
      </c>
    </row>
    <row r="31" spans="1:8" x14ac:dyDescent="0.3">
      <c r="A31" s="4" t="s">
        <v>63</v>
      </c>
      <c r="D31" s="3"/>
      <c r="E31" s="6"/>
      <c r="F31" s="3"/>
    </row>
    <row r="32" spans="1:8" x14ac:dyDescent="0.3">
      <c r="A32" s="4" t="s">
        <v>64</v>
      </c>
      <c r="B32" s="4" t="s">
        <v>13</v>
      </c>
      <c r="C32" s="5">
        <v>716250</v>
      </c>
      <c r="D32" s="3" t="s">
        <v>168</v>
      </c>
      <c r="E32" s="6"/>
      <c r="F32" s="3"/>
      <c r="G32" s="4" t="s">
        <v>15</v>
      </c>
      <c r="H32" s="4" t="s">
        <v>16</v>
      </c>
    </row>
    <row r="33" spans="1:8" x14ac:dyDescent="0.3">
      <c r="A33" s="4" t="s">
        <v>65</v>
      </c>
      <c r="B33" s="4" t="s">
        <v>13</v>
      </c>
      <c r="D33" s="7" t="s">
        <v>66</v>
      </c>
      <c r="E33" s="6"/>
      <c r="F33" s="3"/>
    </row>
    <row r="34" spans="1:8" x14ac:dyDescent="0.3">
      <c r="A34" s="4" t="s">
        <v>67</v>
      </c>
      <c r="B34" s="4" t="s">
        <v>13</v>
      </c>
      <c r="C34" s="5">
        <v>1333200</v>
      </c>
      <c r="D34" s="3" t="s">
        <v>68</v>
      </c>
      <c r="E34" s="6">
        <v>23480938</v>
      </c>
      <c r="F34" s="3"/>
      <c r="G34" s="4" t="s">
        <v>15</v>
      </c>
      <c r="H34" s="4" t="s">
        <v>16</v>
      </c>
    </row>
    <row r="35" spans="1:8" x14ac:dyDescent="0.3">
      <c r="A35" s="4" t="s">
        <v>69</v>
      </c>
      <c r="B35" s="4" t="s">
        <v>25</v>
      </c>
      <c r="D35" s="3" t="s">
        <v>70</v>
      </c>
      <c r="E35" s="6"/>
      <c r="F35" s="3"/>
    </row>
    <row r="36" spans="1:8" x14ac:dyDescent="0.3">
      <c r="A36" s="4" t="s">
        <v>71</v>
      </c>
      <c r="B36" s="4" t="s">
        <v>25</v>
      </c>
      <c r="C36" s="5">
        <v>3500300</v>
      </c>
      <c r="D36" s="7" t="s">
        <v>72</v>
      </c>
      <c r="E36" s="6">
        <v>6008900</v>
      </c>
      <c r="F36" s="3"/>
      <c r="G36" s="4" t="s">
        <v>15</v>
      </c>
      <c r="H36" s="4" t="s">
        <v>27</v>
      </c>
    </row>
    <row r="37" spans="1:8" x14ac:dyDescent="0.3">
      <c r="A37" s="4" t="s">
        <v>73</v>
      </c>
      <c r="B37" s="4" t="s">
        <v>13</v>
      </c>
      <c r="C37" s="5">
        <v>2281700</v>
      </c>
      <c r="D37" s="3" t="s">
        <v>74</v>
      </c>
      <c r="E37" s="6">
        <v>178497</v>
      </c>
      <c r="F37" s="3" t="s">
        <v>467</v>
      </c>
      <c r="G37" s="4" t="s">
        <v>15</v>
      </c>
      <c r="H37" s="4" t="s">
        <v>16</v>
      </c>
    </row>
    <row r="38" spans="1:8" x14ac:dyDescent="0.3">
      <c r="A38" s="4" t="s">
        <v>75</v>
      </c>
      <c r="D38" s="3"/>
      <c r="E38" s="6"/>
      <c r="F38" s="3"/>
    </row>
    <row r="39" spans="1:8" x14ac:dyDescent="0.3">
      <c r="A39" s="4" t="s">
        <v>76</v>
      </c>
      <c r="B39" s="4" t="s">
        <v>25</v>
      </c>
      <c r="C39" s="5">
        <v>856300</v>
      </c>
      <c r="D39" s="3" t="s">
        <v>77</v>
      </c>
      <c r="E39" s="6">
        <v>3825995</v>
      </c>
      <c r="F39" s="3"/>
      <c r="G39" s="4" t="s">
        <v>15</v>
      </c>
      <c r="H39" s="4" t="s">
        <v>27</v>
      </c>
    </row>
    <row r="40" spans="1:8" x14ac:dyDescent="0.3">
      <c r="A40" s="4" t="s">
        <v>78</v>
      </c>
      <c r="D40" s="3"/>
      <c r="E40" s="20"/>
      <c r="F40" s="3"/>
    </row>
    <row r="41" spans="1:8" x14ac:dyDescent="0.3">
      <c r="A41" s="4" t="s">
        <v>79</v>
      </c>
      <c r="B41" s="4" t="s">
        <v>9</v>
      </c>
      <c r="C41" s="5">
        <v>7730000</v>
      </c>
      <c r="D41" s="3" t="s">
        <v>201</v>
      </c>
      <c r="E41" s="6"/>
      <c r="F41" s="3"/>
      <c r="G41" s="4" t="s">
        <v>15</v>
      </c>
      <c r="H41" s="4" t="s">
        <v>16</v>
      </c>
    </row>
    <row r="42" spans="1:8" x14ac:dyDescent="0.3">
      <c r="A42" s="4" t="s">
        <v>80</v>
      </c>
      <c r="B42" s="4" t="s">
        <v>13</v>
      </c>
      <c r="D42" s="7" t="s">
        <v>115</v>
      </c>
      <c r="E42" s="6"/>
      <c r="F42" s="3"/>
    </row>
    <row r="43" spans="1:8" x14ac:dyDescent="0.3">
      <c r="A43" s="4" t="s">
        <v>81</v>
      </c>
      <c r="B43" s="4" t="s">
        <v>9</v>
      </c>
      <c r="C43" s="5">
        <v>1201650</v>
      </c>
      <c r="D43" s="3" t="s">
        <v>82</v>
      </c>
      <c r="E43" s="6">
        <v>21228040</v>
      </c>
      <c r="F43" s="3"/>
      <c r="G43" s="4" t="s">
        <v>11</v>
      </c>
    </row>
    <row r="44" spans="1:8" x14ac:dyDescent="0.3">
      <c r="A44" s="4" t="s">
        <v>83</v>
      </c>
      <c r="B44" s="4" t="s">
        <v>13</v>
      </c>
      <c r="D44" s="16" t="s">
        <v>313</v>
      </c>
      <c r="E44" s="6"/>
      <c r="F44" s="3"/>
    </row>
    <row r="45" spans="1:8" x14ac:dyDescent="0.3">
      <c r="A45" s="4" t="s">
        <v>85</v>
      </c>
      <c r="B45" s="4" t="s">
        <v>13</v>
      </c>
      <c r="C45" s="5">
        <v>5596600</v>
      </c>
      <c r="D45" s="3" t="s">
        <v>86</v>
      </c>
      <c r="E45" s="6">
        <v>186745</v>
      </c>
      <c r="F45" s="3" t="s">
        <v>468</v>
      </c>
      <c r="G45" s="4" t="s">
        <v>15</v>
      </c>
      <c r="H45" s="4" t="s">
        <v>16</v>
      </c>
    </row>
    <row r="46" spans="1:8" x14ac:dyDescent="0.3">
      <c r="A46" s="4" t="s">
        <v>87</v>
      </c>
      <c r="B46" s="4" t="s">
        <v>25</v>
      </c>
      <c r="C46" s="5">
        <v>2923000</v>
      </c>
      <c r="D46" s="3" t="s">
        <v>88</v>
      </c>
      <c r="E46" s="6"/>
      <c r="F46" s="3"/>
      <c r="G46" s="4" t="s">
        <v>15</v>
      </c>
      <c r="H46" s="4" t="s">
        <v>16</v>
      </c>
    </row>
    <row r="47" spans="1:8" x14ac:dyDescent="0.3">
      <c r="A47" s="4" t="s">
        <v>89</v>
      </c>
      <c r="B47" s="4" t="s">
        <v>13</v>
      </c>
      <c r="C47" s="5">
        <v>3756600</v>
      </c>
      <c r="D47" s="3" t="s">
        <v>90</v>
      </c>
      <c r="E47" s="6"/>
      <c r="F47" s="3"/>
      <c r="G47" s="4" t="s">
        <v>11</v>
      </c>
      <c r="H47" s="4" t="s">
        <v>16</v>
      </c>
    </row>
    <row r="48" spans="1:8" x14ac:dyDescent="0.3">
      <c r="A48" s="4" t="s">
        <v>91</v>
      </c>
      <c r="B48" s="4" t="s">
        <v>9</v>
      </c>
      <c r="C48" s="5">
        <v>1360000</v>
      </c>
      <c r="D48" s="7" t="s">
        <v>92</v>
      </c>
      <c r="E48" s="6">
        <v>20380895</v>
      </c>
      <c r="F48" s="3"/>
    </row>
    <row r="49" spans="1:8" x14ac:dyDescent="0.3">
      <c r="A49" s="4" t="s">
        <v>419</v>
      </c>
      <c r="B49" s="4" t="s">
        <v>25</v>
      </c>
      <c r="D49" s="7" t="s">
        <v>420</v>
      </c>
      <c r="E49" s="6"/>
      <c r="F49" s="3"/>
    </row>
    <row r="50" spans="1:8" x14ac:dyDescent="0.3">
      <c r="A50" s="4" t="s">
        <v>93</v>
      </c>
      <c r="B50" s="4" t="s">
        <v>13</v>
      </c>
      <c r="C50" s="5">
        <v>1147000</v>
      </c>
      <c r="D50" s="3" t="s">
        <v>259</v>
      </c>
      <c r="E50" s="6">
        <v>170883</v>
      </c>
      <c r="F50" s="3" t="s">
        <v>460</v>
      </c>
      <c r="G50" s="4" t="s">
        <v>15</v>
      </c>
      <c r="H50" s="4" t="s">
        <v>16</v>
      </c>
    </row>
    <row r="51" spans="1:8" x14ac:dyDescent="0.3">
      <c r="A51" s="4" t="s">
        <v>95</v>
      </c>
      <c r="B51" s="4" t="s">
        <v>13</v>
      </c>
      <c r="C51" s="5">
        <v>1128550</v>
      </c>
      <c r="D51" s="7" t="s">
        <v>170</v>
      </c>
      <c r="E51" s="6">
        <v>162190</v>
      </c>
      <c r="F51" s="3" t="s">
        <v>455</v>
      </c>
      <c r="G51" s="4" t="s">
        <v>15</v>
      </c>
      <c r="H51" s="4" t="s">
        <v>16</v>
      </c>
    </row>
    <row r="52" spans="1:8" x14ac:dyDescent="0.3">
      <c r="A52" s="4" t="s">
        <v>96</v>
      </c>
      <c r="B52" s="4" t="s">
        <v>13</v>
      </c>
      <c r="C52" s="5">
        <v>1607650</v>
      </c>
      <c r="D52" s="7" t="s">
        <v>307</v>
      </c>
      <c r="E52" s="6">
        <v>170646</v>
      </c>
      <c r="F52" s="19" t="s">
        <v>463</v>
      </c>
      <c r="G52" s="4" t="s">
        <v>15</v>
      </c>
      <c r="H52" s="4" t="s">
        <v>16</v>
      </c>
    </row>
    <row r="53" spans="1:8" x14ac:dyDescent="0.3">
      <c r="A53" s="4" t="s">
        <v>98</v>
      </c>
      <c r="B53" s="4" t="s">
        <v>9</v>
      </c>
      <c r="C53" s="5">
        <v>1315000</v>
      </c>
      <c r="D53" s="3" t="s">
        <v>99</v>
      </c>
      <c r="E53" s="6">
        <v>21228144</v>
      </c>
      <c r="F53" s="3"/>
      <c r="G53" s="4" t="s">
        <v>11</v>
      </c>
    </row>
    <row r="54" spans="1:8" x14ac:dyDescent="0.3">
      <c r="A54" s="4" t="s">
        <v>100</v>
      </c>
      <c r="B54" s="4" t="s">
        <v>9</v>
      </c>
      <c r="C54" s="5">
        <v>1208200</v>
      </c>
      <c r="D54" s="8" t="s">
        <v>326</v>
      </c>
      <c r="E54" s="9">
        <v>10329011</v>
      </c>
      <c r="F54" s="7"/>
      <c r="G54" s="7" t="s">
        <v>11</v>
      </c>
    </row>
    <row r="55" spans="1:8" x14ac:dyDescent="0.3">
      <c r="A55" s="4" t="s">
        <v>102</v>
      </c>
      <c r="B55" s="4" t="s">
        <v>9</v>
      </c>
      <c r="C55" s="5">
        <v>2537400</v>
      </c>
      <c r="D55" s="3" t="s">
        <v>103</v>
      </c>
      <c r="E55" s="6">
        <v>618793</v>
      </c>
      <c r="F55" s="3"/>
      <c r="G55" s="4" t="s">
        <v>11</v>
      </c>
    </row>
    <row r="56" spans="1:8" x14ac:dyDescent="0.3">
      <c r="A56" s="4" t="s">
        <v>104</v>
      </c>
      <c r="B56" s="4" t="s">
        <v>9</v>
      </c>
      <c r="C56" s="5">
        <v>3668400</v>
      </c>
      <c r="D56" s="3" t="s">
        <v>105</v>
      </c>
      <c r="E56" s="6">
        <v>750180</v>
      </c>
      <c r="F56" s="3"/>
      <c r="G56" s="4" t="s">
        <v>11</v>
      </c>
    </row>
    <row r="57" spans="1:8" x14ac:dyDescent="0.3">
      <c r="A57" s="4" t="s">
        <v>106</v>
      </c>
      <c r="B57" s="4" t="s">
        <v>13</v>
      </c>
      <c r="C57" s="5">
        <v>4138500</v>
      </c>
      <c r="D57" s="3" t="s">
        <v>107</v>
      </c>
      <c r="E57" s="6">
        <v>169283</v>
      </c>
      <c r="F57" s="3" t="s">
        <v>458</v>
      </c>
      <c r="G57" s="4" t="s">
        <v>15</v>
      </c>
      <c r="H57" s="4" t="s">
        <v>16</v>
      </c>
    </row>
    <row r="58" spans="1:8" x14ac:dyDescent="0.3">
      <c r="A58" s="4" t="s">
        <v>108</v>
      </c>
      <c r="B58" s="4" t="s">
        <v>13</v>
      </c>
      <c r="C58" s="5">
        <v>3235080</v>
      </c>
      <c r="D58" s="7" t="s">
        <v>135</v>
      </c>
      <c r="E58" s="6">
        <v>22889050</v>
      </c>
      <c r="F58" s="3"/>
      <c r="G58" s="4" t="s">
        <v>15</v>
      </c>
      <c r="H58" s="4" t="s">
        <v>16</v>
      </c>
    </row>
    <row r="59" spans="1:8" x14ac:dyDescent="0.3">
      <c r="A59" s="4" t="s">
        <v>109</v>
      </c>
      <c r="B59" s="4" t="s">
        <v>13</v>
      </c>
      <c r="C59" s="5">
        <v>1352350</v>
      </c>
      <c r="D59" s="3" t="s">
        <v>110</v>
      </c>
      <c r="E59" s="6"/>
      <c r="F59" s="3"/>
      <c r="G59" s="4" t="s">
        <v>15</v>
      </c>
      <c r="H59" s="4" t="s">
        <v>16</v>
      </c>
    </row>
    <row r="60" spans="1:8" x14ac:dyDescent="0.3">
      <c r="A60" s="4" t="s">
        <v>111</v>
      </c>
      <c r="B60" s="4" t="s">
        <v>25</v>
      </c>
      <c r="C60" s="5">
        <v>2779400</v>
      </c>
      <c r="D60" s="3" t="s">
        <v>464</v>
      </c>
      <c r="E60" s="15">
        <v>266192</v>
      </c>
      <c r="F60" s="16"/>
      <c r="G60" s="4" t="s">
        <v>15</v>
      </c>
      <c r="H60" s="4" t="s">
        <v>27</v>
      </c>
    </row>
    <row r="61" spans="1:8" x14ac:dyDescent="0.3">
      <c r="A61" s="4" t="s">
        <v>471</v>
      </c>
      <c r="B61" s="4" t="s">
        <v>25</v>
      </c>
      <c r="C61" s="5">
        <v>37411600</v>
      </c>
      <c r="D61" s="3" t="s">
        <v>472</v>
      </c>
      <c r="E61" s="6" t="s">
        <v>473</v>
      </c>
      <c r="F61" s="3" t="s">
        <v>474</v>
      </c>
      <c r="G61" s="4" t="s">
        <v>15</v>
      </c>
      <c r="H61" s="4" t="s">
        <v>27</v>
      </c>
    </row>
    <row r="62" spans="1:8" x14ac:dyDescent="0.3">
      <c r="A62" s="4" t="s">
        <v>113</v>
      </c>
      <c r="B62" s="4" t="s">
        <v>25</v>
      </c>
      <c r="C62" s="5">
        <v>6686970</v>
      </c>
      <c r="D62" s="3" t="s">
        <v>92</v>
      </c>
      <c r="E62" s="6" t="s">
        <v>461</v>
      </c>
      <c r="F62" s="3" t="s">
        <v>462</v>
      </c>
      <c r="G62" s="4" t="s">
        <v>15</v>
      </c>
      <c r="H62" s="4" t="s">
        <v>27</v>
      </c>
    </row>
    <row r="63" spans="1:8" s="10" customFormat="1" ht="15" thickBot="1" x14ac:dyDescent="0.35">
      <c r="A63" s="10" t="s">
        <v>114</v>
      </c>
      <c r="B63" s="4"/>
      <c r="C63" s="11">
        <f>SUM(C2:C62)</f>
        <v>148970560</v>
      </c>
      <c r="D63" s="4"/>
    </row>
    <row r="64" spans="1:8" ht="15" thickTop="1" x14ac:dyDescent="0.3"/>
    <row r="69" spans="4:4" x14ac:dyDescent="0.3">
      <c r="D69" s="12"/>
    </row>
  </sheetData>
  <conditionalFormatting sqref="F14:F15 I20:I27">
    <cfRule type="containsText" dxfId="201" priority="65" operator="containsText" text="No">
      <formula>NOT(ISERROR(SEARCH("No",F14)))</formula>
    </cfRule>
    <cfRule type="containsText" dxfId="200" priority="66" operator="containsText" text="Yes">
      <formula>NOT(ISERROR(SEARCH("Yes",F14)))</formula>
    </cfRule>
  </conditionalFormatting>
  <conditionalFormatting sqref="G1">
    <cfRule type="containsText" dxfId="199" priority="87" operator="containsText" text="No">
      <formula>NOT(ISERROR(SEARCH("No",G1)))</formula>
    </cfRule>
    <cfRule type="containsText" dxfId="198" priority="88" operator="containsText" text="Yes">
      <formula>NOT(ISERROR(SEARCH("Yes",G1)))</formula>
    </cfRule>
  </conditionalFormatting>
  <conditionalFormatting sqref="G16 G19">
    <cfRule type="containsText" dxfId="197" priority="77" operator="containsText" text="No">
      <formula>NOT(ISERROR(SEARCH("No",G16)))</formula>
    </cfRule>
    <cfRule type="containsText" dxfId="196" priority="78" operator="containsText" text="Yes">
      <formula>NOT(ISERROR(SEARCH("Yes",G16)))</formula>
    </cfRule>
  </conditionalFormatting>
  <conditionalFormatting sqref="G29">
    <cfRule type="containsText" dxfId="195" priority="75" operator="containsText" text="No">
      <formula>NOT(ISERROR(SEARCH("No",G29)))</formula>
    </cfRule>
    <cfRule type="containsText" dxfId="194" priority="76" operator="containsText" text="Yes">
      <formula>NOT(ISERROR(SEARCH("Yes",G29)))</formula>
    </cfRule>
  </conditionalFormatting>
  <conditionalFormatting sqref="G40">
    <cfRule type="containsText" dxfId="193" priority="91" operator="containsText" text="No">
      <formula>NOT(ISERROR(SEARCH("No",G40)))</formula>
    </cfRule>
    <cfRule type="containsText" dxfId="192" priority="92" operator="containsText" text="Yes">
      <formula>NOT(ISERROR(SEARCH("Yes",G40)))</formula>
    </cfRule>
  </conditionalFormatting>
  <conditionalFormatting sqref="G43">
    <cfRule type="containsText" dxfId="191" priority="85" operator="containsText" text="No">
      <formula>NOT(ISERROR(SEARCH("No",G43)))</formula>
    </cfRule>
    <cfRule type="containsText" dxfId="190" priority="86" operator="containsText" text="Yes">
      <formula>NOT(ISERROR(SEARCH("Yes",G43)))</formula>
    </cfRule>
  </conditionalFormatting>
  <conditionalFormatting sqref="G53">
    <cfRule type="containsText" dxfId="189" priority="83" operator="containsText" text="No">
      <formula>NOT(ISERROR(SEARCH("No",G53)))</formula>
    </cfRule>
    <cfRule type="containsText" dxfId="188" priority="84" operator="containsText" text="Yes">
      <formula>NOT(ISERROR(SEARCH("Yes",G53)))</formula>
    </cfRule>
  </conditionalFormatting>
  <conditionalFormatting sqref="G63:G1048576">
    <cfRule type="containsText" dxfId="187" priority="89" operator="containsText" text="No">
      <formula>NOT(ISERROR(SEARCH("No",G63)))</formula>
    </cfRule>
    <cfRule type="containsText" dxfId="186" priority="90" operator="containsText" text="Yes">
      <formula>NOT(ISERROR(SEARCH("Yes",G63)))</formula>
    </cfRule>
  </conditionalFormatting>
  <conditionalFormatting sqref="G2:H7">
    <cfRule type="containsText" dxfId="185" priority="1" operator="containsText" text="No">
      <formula>NOT(ISERROR(SEARCH("No",G2)))</formula>
    </cfRule>
    <cfRule type="containsText" dxfId="184" priority="2" operator="containsText" text="Yes">
      <formula>NOT(ISERROR(SEARCH("Yes",G2)))</formula>
    </cfRule>
  </conditionalFormatting>
  <conditionalFormatting sqref="G20:H28">
    <cfRule type="containsText" dxfId="183" priority="19" operator="containsText" text="No">
      <formula>NOT(ISERROR(SEARCH("No",G20)))</formula>
    </cfRule>
    <cfRule type="containsText" dxfId="182" priority="20" operator="containsText" text="Yes">
      <formula>NOT(ISERROR(SEARCH("Yes",G20)))</formula>
    </cfRule>
  </conditionalFormatting>
  <conditionalFormatting sqref="G30:H39">
    <cfRule type="containsText" dxfId="181" priority="9" operator="containsText" text="No">
      <formula>NOT(ISERROR(SEARCH("No",G30)))</formula>
    </cfRule>
    <cfRule type="containsText" dxfId="180" priority="10" operator="containsText" text="Yes">
      <formula>NOT(ISERROR(SEARCH("Yes",G30)))</formula>
    </cfRule>
  </conditionalFormatting>
  <conditionalFormatting sqref="G41:H42">
    <cfRule type="containsText" dxfId="179" priority="21" operator="containsText" text="No">
      <formula>NOT(ISERROR(SEARCH("No",G41)))</formula>
    </cfRule>
    <cfRule type="containsText" dxfId="178" priority="22" operator="containsText" text="Yes">
      <formula>NOT(ISERROR(SEARCH("Yes",G41)))</formula>
    </cfRule>
  </conditionalFormatting>
  <conditionalFormatting sqref="G44:H52">
    <cfRule type="containsText" dxfId="177" priority="5" operator="containsText" text="No">
      <formula>NOT(ISERROR(SEARCH("No",G44)))</formula>
    </cfRule>
    <cfRule type="containsText" dxfId="176" priority="6" operator="containsText" text="Yes">
      <formula>NOT(ISERROR(SEARCH("Yes",G44)))</formula>
    </cfRule>
  </conditionalFormatting>
  <conditionalFormatting sqref="G54:H62">
    <cfRule type="containsText" dxfId="175" priority="45" operator="containsText" text="No">
      <formula>NOT(ISERROR(SEARCH("No",G54)))</formula>
    </cfRule>
    <cfRule type="containsText" dxfId="174" priority="46" operator="containsText" text="Yes">
      <formula>NOT(ISERROR(SEARCH("Yes",G54)))</formula>
    </cfRule>
  </conditionalFormatting>
  <conditionalFormatting sqref="G8:I15">
    <cfRule type="containsText" dxfId="173" priority="29" operator="containsText" text="No">
      <formula>NOT(ISERROR(SEARCH("No",G8)))</formula>
    </cfRule>
    <cfRule type="containsText" dxfId="172" priority="30" operator="containsText" text="Yes">
      <formula>NOT(ISERROR(SEARCH("Yes",G8)))</formula>
    </cfRule>
  </conditionalFormatting>
  <conditionalFormatting sqref="G17:I18">
    <cfRule type="containsText" dxfId="171" priority="15" operator="containsText" text="No">
      <formula>NOT(ISERROR(SEARCH("No",G17)))</formula>
    </cfRule>
    <cfRule type="containsText" dxfId="170" priority="16" operator="containsText" text="Yes">
      <formula>NOT(ISERROR(SEARCH("Yes",G17)))</formula>
    </cfRule>
  </conditionalFormatting>
  <conditionalFormatting sqref="H28">
    <cfRule type="containsText" dxfId="169" priority="79" operator="containsText" text="No">
      <formula>NOT(ISERROR(SEARCH("No",H28)))</formula>
    </cfRule>
    <cfRule type="containsText" dxfId="168" priority="80" operator="containsText" text="Yes">
      <formula>NOT(ISERROR(SEARCH("Yes",H28)))</formula>
    </cfRule>
  </conditionalFormatting>
  <conditionalFormatting sqref="I20">
    <cfRule type="containsText" dxfId="167" priority="81" operator="containsText" text="No">
      <formula>NOT(ISERROR(SEARCH("No",I20)))</formula>
    </cfRule>
    <cfRule type="containsText" dxfId="166" priority="82" operator="containsText" text="Yes">
      <formula>NOT(ISERROR(SEARCH("Yes",I20)))</formula>
    </cfRule>
  </conditionalFormatting>
  <conditionalFormatting sqref="I30">
    <cfRule type="containsText" dxfId="165" priority="73" operator="containsText" text="No">
      <formula>NOT(ISERROR(SEARCH("No",I30)))</formula>
    </cfRule>
    <cfRule type="containsText" dxfId="164" priority="74" operator="containsText" text="Yes">
      <formula>NOT(ISERROR(SEARCH("Yes",I30)))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D5676-1195-4825-A737-0B85EB2C87E1}">
  <dimension ref="A1:I68"/>
  <sheetViews>
    <sheetView workbookViewId="0">
      <pane xSplit="2" ySplit="1" topLeftCell="C32" activePane="bottomRight" state="frozen"/>
      <selection pane="topRight" activeCell="C1" sqref="C1"/>
      <selection pane="bottomLeft" activeCell="A2" sqref="A2"/>
      <selection pane="bottomRight" activeCell="H48" sqref="H48"/>
    </sheetView>
  </sheetViews>
  <sheetFormatPr defaultColWidth="10" defaultRowHeight="14.4" x14ac:dyDescent="0.3"/>
  <cols>
    <col min="1" max="1" width="17.5546875" style="4" bestFit="1" customWidth="1"/>
    <col min="2" max="2" width="12.33203125" style="4" bestFit="1" customWidth="1"/>
    <col min="3" max="3" width="18.5546875" style="5" bestFit="1" customWidth="1"/>
    <col min="4" max="4" width="23.88671875" style="4" bestFit="1" customWidth="1"/>
    <col min="5" max="5" width="16.6640625" style="4" bestFit="1" customWidth="1"/>
    <col min="6" max="6" width="14.6640625" style="4" bestFit="1" customWidth="1"/>
    <col min="7" max="7" width="14.6640625" style="4" customWidth="1"/>
    <col min="8" max="8" width="12.109375" style="4" bestFit="1" customWidth="1"/>
    <col min="9" max="9" width="4.33203125" style="4" customWidth="1"/>
    <col min="10" max="16384" width="10" style="4"/>
  </cols>
  <sheetData>
    <row r="1" spans="1:9" s="1" customForma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s="1" customFormat="1" x14ac:dyDescent="0.3">
      <c r="A2" s="3" t="s">
        <v>8</v>
      </c>
      <c r="B2" s="4" t="s">
        <v>9</v>
      </c>
      <c r="C2" s="5">
        <v>1119800</v>
      </c>
      <c r="D2" s="3" t="s">
        <v>10</v>
      </c>
      <c r="E2" s="6">
        <v>354400</v>
      </c>
      <c r="F2" s="3"/>
      <c r="G2" s="4" t="s">
        <v>11</v>
      </c>
      <c r="H2" s="4"/>
      <c r="I2" s="3"/>
    </row>
    <row r="3" spans="1:9" x14ac:dyDescent="0.3">
      <c r="A3" s="4" t="s">
        <v>12</v>
      </c>
      <c r="B3" s="4" t="s">
        <v>13</v>
      </c>
      <c r="C3" s="5">
        <v>995650</v>
      </c>
      <c r="D3" s="3" t="s">
        <v>14</v>
      </c>
      <c r="E3" s="6">
        <v>125598</v>
      </c>
      <c r="F3" s="3" t="s">
        <v>484</v>
      </c>
      <c r="G3" s="4" t="s">
        <v>15</v>
      </c>
      <c r="H3" s="4" t="s">
        <v>16</v>
      </c>
    </row>
    <row r="4" spans="1:9" x14ac:dyDescent="0.3">
      <c r="A4" s="4" t="s">
        <v>17</v>
      </c>
      <c r="D4" s="3"/>
      <c r="E4" s="6"/>
      <c r="F4" s="3"/>
    </row>
    <row r="5" spans="1:9" x14ac:dyDescent="0.3">
      <c r="A5" s="4" t="s">
        <v>18</v>
      </c>
      <c r="B5" s="4" t="s">
        <v>13</v>
      </c>
      <c r="C5" s="5">
        <v>1170750</v>
      </c>
      <c r="D5" s="3" t="s">
        <v>19</v>
      </c>
      <c r="E5" s="6">
        <v>23480986</v>
      </c>
      <c r="F5" s="3"/>
      <c r="G5" s="4" t="s">
        <v>15</v>
      </c>
      <c r="H5" s="4" t="s">
        <v>16</v>
      </c>
    </row>
    <row r="6" spans="1:9" x14ac:dyDescent="0.3">
      <c r="A6" s="4" t="s">
        <v>20</v>
      </c>
      <c r="B6" s="4" t="s">
        <v>13</v>
      </c>
      <c r="C6" s="5">
        <v>964870</v>
      </c>
      <c r="D6" s="3" t="s">
        <v>21</v>
      </c>
      <c r="E6" s="6">
        <v>25461244</v>
      </c>
      <c r="F6" s="3"/>
      <c r="G6" s="4" t="s">
        <v>15</v>
      </c>
      <c r="H6" s="4" t="s">
        <v>16</v>
      </c>
    </row>
    <row r="7" spans="1:9" x14ac:dyDescent="0.3">
      <c r="A7" s="4" t="s">
        <v>22</v>
      </c>
      <c r="B7" s="4" t="s">
        <v>13</v>
      </c>
      <c r="C7" s="5">
        <v>1334200</v>
      </c>
      <c r="D7" s="3" t="s">
        <v>23</v>
      </c>
      <c r="E7" s="6">
        <v>23480750</v>
      </c>
      <c r="F7" s="3"/>
      <c r="G7" s="4" t="s">
        <v>15</v>
      </c>
      <c r="H7" s="4" t="s">
        <v>16</v>
      </c>
    </row>
    <row r="8" spans="1:9" x14ac:dyDescent="0.3">
      <c r="A8" s="4" t="s">
        <v>24</v>
      </c>
      <c r="B8" s="4" t="s">
        <v>25</v>
      </c>
      <c r="C8" s="5">
        <v>1343700</v>
      </c>
      <c r="D8" s="16" t="s">
        <v>26</v>
      </c>
      <c r="E8" s="6" t="s">
        <v>491</v>
      </c>
      <c r="F8" s="3" t="s">
        <v>492</v>
      </c>
      <c r="G8" s="4" t="s">
        <v>15</v>
      </c>
      <c r="H8" s="4" t="s">
        <v>27</v>
      </c>
    </row>
    <row r="9" spans="1:9" x14ac:dyDescent="0.3">
      <c r="A9" s="4" t="s">
        <v>28</v>
      </c>
      <c r="B9" s="4" t="s">
        <v>13</v>
      </c>
      <c r="C9" s="5">
        <v>779500</v>
      </c>
      <c r="D9" s="3" t="s">
        <v>29</v>
      </c>
      <c r="E9" s="6">
        <v>23480978</v>
      </c>
      <c r="F9" s="3"/>
      <c r="G9" s="4" t="s">
        <v>15</v>
      </c>
      <c r="H9" s="4" t="s">
        <v>16</v>
      </c>
    </row>
    <row r="10" spans="1:9" x14ac:dyDescent="0.3">
      <c r="A10" s="4" t="s">
        <v>30</v>
      </c>
      <c r="B10" s="4" t="s">
        <v>25</v>
      </c>
      <c r="C10" s="5">
        <v>2585350</v>
      </c>
      <c r="D10" s="3" t="s">
        <v>136</v>
      </c>
      <c r="E10" s="6" t="s">
        <v>498</v>
      </c>
      <c r="F10" s="3" t="s">
        <v>499</v>
      </c>
      <c r="G10" s="4" t="s">
        <v>15</v>
      </c>
      <c r="H10" s="4" t="s">
        <v>27</v>
      </c>
    </row>
    <row r="11" spans="1:9" x14ac:dyDescent="0.3">
      <c r="A11" s="4" t="s">
        <v>31</v>
      </c>
      <c r="B11" s="4" t="s">
        <v>9</v>
      </c>
      <c r="C11" s="5">
        <v>4137100</v>
      </c>
      <c r="D11" s="3" t="s">
        <v>152</v>
      </c>
      <c r="E11" s="6">
        <v>42392</v>
      </c>
      <c r="F11" s="3"/>
      <c r="G11" s="4" t="s">
        <v>11</v>
      </c>
    </row>
    <row r="12" spans="1:9" x14ac:dyDescent="0.3">
      <c r="A12" s="4" t="s">
        <v>32</v>
      </c>
      <c r="B12" s="4" t="s">
        <v>9</v>
      </c>
      <c r="C12" s="5">
        <v>3981150</v>
      </c>
      <c r="D12" s="16" t="s">
        <v>137</v>
      </c>
      <c r="E12" s="6">
        <v>42338</v>
      </c>
      <c r="F12" s="3"/>
      <c r="G12" s="4" t="s">
        <v>11</v>
      </c>
    </row>
    <row r="13" spans="1:9" x14ac:dyDescent="0.3">
      <c r="A13" s="4" t="s">
        <v>33</v>
      </c>
      <c r="B13" s="4" t="s">
        <v>13</v>
      </c>
      <c r="C13" s="5">
        <v>2008250</v>
      </c>
      <c r="D13" s="3" t="s">
        <v>323</v>
      </c>
      <c r="E13" s="6">
        <v>118980</v>
      </c>
      <c r="F13" s="3" t="s">
        <v>477</v>
      </c>
      <c r="G13" s="4" t="s">
        <v>15</v>
      </c>
      <c r="H13" s="4" t="s">
        <v>16</v>
      </c>
    </row>
    <row r="14" spans="1:9" x14ac:dyDescent="0.3">
      <c r="A14" s="4" t="s">
        <v>35</v>
      </c>
      <c r="B14" s="4" t="s">
        <v>13</v>
      </c>
      <c r="C14" s="5">
        <v>210850</v>
      </c>
      <c r="D14" s="3" t="s">
        <v>408</v>
      </c>
      <c r="E14" s="6">
        <v>128165</v>
      </c>
      <c r="F14" s="4" t="s">
        <v>485</v>
      </c>
      <c r="G14" s="4" t="s">
        <v>15</v>
      </c>
      <c r="H14" s="4" t="s">
        <v>16</v>
      </c>
    </row>
    <row r="15" spans="1:9" x14ac:dyDescent="0.3">
      <c r="A15" s="4" t="s">
        <v>37</v>
      </c>
      <c r="B15" s="4" t="s">
        <v>13</v>
      </c>
      <c r="C15" s="5">
        <v>953920</v>
      </c>
      <c r="D15" s="3" t="s">
        <v>38</v>
      </c>
      <c r="E15" s="6">
        <v>132665</v>
      </c>
      <c r="F15" s="4" t="s">
        <v>490</v>
      </c>
      <c r="G15" s="4" t="s">
        <v>15</v>
      </c>
      <c r="H15" s="4" t="s">
        <v>16</v>
      </c>
    </row>
    <row r="16" spans="1:9" x14ac:dyDescent="0.3">
      <c r="A16" s="4" t="s">
        <v>39</v>
      </c>
      <c r="D16" s="3"/>
      <c r="E16" s="6"/>
      <c r="F16" s="3"/>
    </row>
    <row r="17" spans="1:8" x14ac:dyDescent="0.3">
      <c r="A17" s="4" t="s">
        <v>40</v>
      </c>
      <c r="B17" s="4" t="s">
        <v>13</v>
      </c>
      <c r="C17" s="5">
        <v>1571700</v>
      </c>
      <c r="D17" s="3" t="s">
        <v>41</v>
      </c>
      <c r="E17" s="6"/>
      <c r="F17" s="3"/>
      <c r="G17" s="4" t="s">
        <v>15</v>
      </c>
      <c r="H17" s="4" t="s">
        <v>16</v>
      </c>
    </row>
    <row r="18" spans="1:8" x14ac:dyDescent="0.3">
      <c r="A18" s="4" t="s">
        <v>42</v>
      </c>
      <c r="B18" s="4" t="s">
        <v>13</v>
      </c>
      <c r="C18" s="5">
        <v>1543500</v>
      </c>
      <c r="D18" s="3" t="s">
        <v>128</v>
      </c>
      <c r="E18" s="6"/>
      <c r="F18" s="3"/>
      <c r="G18" s="4" t="s">
        <v>15</v>
      </c>
      <c r="H18" s="4" t="s">
        <v>16</v>
      </c>
    </row>
    <row r="19" spans="1:8" x14ac:dyDescent="0.3">
      <c r="A19" s="4" t="s">
        <v>43</v>
      </c>
      <c r="D19" s="3"/>
      <c r="E19" s="6"/>
      <c r="F19" s="3"/>
    </row>
    <row r="20" spans="1:8" x14ac:dyDescent="0.3">
      <c r="A20" s="4" t="s">
        <v>44</v>
      </c>
      <c r="B20" s="4" t="s">
        <v>25</v>
      </c>
      <c r="C20" s="5">
        <v>1587500</v>
      </c>
      <c r="D20" s="3" t="s">
        <v>45</v>
      </c>
      <c r="E20" s="6" t="s">
        <v>486</v>
      </c>
      <c r="F20" s="3" t="s">
        <v>487</v>
      </c>
      <c r="G20" s="4" t="s">
        <v>15</v>
      </c>
      <c r="H20" s="4" t="s">
        <v>27</v>
      </c>
    </row>
    <row r="21" spans="1:8" x14ac:dyDescent="0.3">
      <c r="A21" s="4" t="s">
        <v>46</v>
      </c>
      <c r="B21" s="4" t="s">
        <v>25</v>
      </c>
      <c r="C21" s="5">
        <v>572500</v>
      </c>
      <c r="D21" s="3" t="s">
        <v>320</v>
      </c>
      <c r="E21" s="6" t="s">
        <v>481</v>
      </c>
      <c r="F21" s="3" t="s">
        <v>482</v>
      </c>
      <c r="G21" s="4" t="s">
        <v>15</v>
      </c>
      <c r="H21" s="4" t="s">
        <v>27</v>
      </c>
    </row>
    <row r="22" spans="1:8" x14ac:dyDescent="0.3">
      <c r="A22" s="4" t="s">
        <v>49</v>
      </c>
      <c r="B22" s="4" t="s">
        <v>13</v>
      </c>
      <c r="C22" s="5">
        <v>1676570</v>
      </c>
      <c r="D22" s="3" t="s">
        <v>50</v>
      </c>
      <c r="E22" s="6">
        <v>137262</v>
      </c>
      <c r="F22" s="3" t="s">
        <v>496</v>
      </c>
      <c r="G22" s="4" t="s">
        <v>15</v>
      </c>
      <c r="H22" s="4" t="s">
        <v>16</v>
      </c>
    </row>
    <row r="23" spans="1:8" x14ac:dyDescent="0.3">
      <c r="A23" s="4" t="s">
        <v>51</v>
      </c>
      <c r="B23" s="4" t="s">
        <v>13</v>
      </c>
      <c r="C23" s="5">
        <v>3142300</v>
      </c>
      <c r="D23" s="5" t="s">
        <v>215</v>
      </c>
      <c r="E23" s="6">
        <v>119943</v>
      </c>
      <c r="F23" s="3" t="s">
        <v>480</v>
      </c>
      <c r="G23" s="4" t="s">
        <v>15</v>
      </c>
      <c r="H23" s="4" t="s">
        <v>16</v>
      </c>
    </row>
    <row r="24" spans="1:8" x14ac:dyDescent="0.3">
      <c r="A24" s="4" t="s">
        <v>52</v>
      </c>
      <c r="B24" s="4" t="s">
        <v>13</v>
      </c>
      <c r="D24" s="3" t="s">
        <v>294</v>
      </c>
      <c r="E24" s="6"/>
      <c r="F24" s="3"/>
    </row>
    <row r="25" spans="1:8" x14ac:dyDescent="0.3">
      <c r="A25" s="4" t="s">
        <v>53</v>
      </c>
      <c r="B25" s="4" t="s">
        <v>9</v>
      </c>
      <c r="C25" s="5">
        <v>6365800</v>
      </c>
      <c r="D25" s="3" t="s">
        <v>54</v>
      </c>
      <c r="E25" s="6">
        <v>174839</v>
      </c>
      <c r="F25" s="3"/>
      <c r="G25" s="4" t="s">
        <v>11</v>
      </c>
    </row>
    <row r="26" spans="1:8" x14ac:dyDescent="0.3">
      <c r="A26" s="4" t="s">
        <v>55</v>
      </c>
      <c r="B26" s="4" t="s">
        <v>13</v>
      </c>
      <c r="C26" s="5">
        <v>958800</v>
      </c>
      <c r="D26" s="3" t="s">
        <v>56</v>
      </c>
      <c r="E26" s="6">
        <v>118464</v>
      </c>
      <c r="F26" s="3" t="s">
        <v>483</v>
      </c>
      <c r="G26" s="4" t="s">
        <v>15</v>
      </c>
      <c r="H26" s="4" t="s">
        <v>16</v>
      </c>
    </row>
    <row r="27" spans="1:8" x14ac:dyDescent="0.3">
      <c r="A27" s="4" t="s">
        <v>57</v>
      </c>
      <c r="B27" s="4" t="s">
        <v>13</v>
      </c>
      <c r="C27" s="5">
        <v>1007610</v>
      </c>
      <c r="D27" s="3" t="s">
        <v>58</v>
      </c>
      <c r="E27" s="6">
        <v>114724</v>
      </c>
      <c r="F27" s="3" t="s">
        <v>479</v>
      </c>
      <c r="G27" s="4" t="s">
        <v>15</v>
      </c>
      <c r="H27" s="4" t="s">
        <v>16</v>
      </c>
    </row>
    <row r="28" spans="1:8" x14ac:dyDescent="0.3">
      <c r="A28" s="4" t="s">
        <v>59</v>
      </c>
      <c r="B28" s="4" t="s">
        <v>25</v>
      </c>
      <c r="C28" s="5">
        <v>2000000</v>
      </c>
      <c r="D28" s="3" t="s">
        <v>414</v>
      </c>
      <c r="E28" s="6" t="s">
        <v>478</v>
      </c>
      <c r="F28" s="3" t="s">
        <v>351</v>
      </c>
      <c r="G28" s="7" t="s">
        <v>15</v>
      </c>
      <c r="H28" s="5" t="s">
        <v>27</v>
      </c>
    </row>
    <row r="29" spans="1:8" x14ac:dyDescent="0.3">
      <c r="A29" s="4" t="s">
        <v>60</v>
      </c>
      <c r="D29" s="3"/>
      <c r="E29" s="6"/>
      <c r="F29" s="3"/>
    </row>
    <row r="30" spans="1:8" x14ac:dyDescent="0.3">
      <c r="A30" s="4" t="s">
        <v>61</v>
      </c>
      <c r="B30" s="4" t="s">
        <v>13</v>
      </c>
      <c r="C30" s="5">
        <v>2193100</v>
      </c>
      <c r="D30" s="3" t="s">
        <v>243</v>
      </c>
      <c r="E30" s="6">
        <v>22813038</v>
      </c>
      <c r="F30" s="3"/>
      <c r="G30" s="4" t="s">
        <v>15</v>
      </c>
      <c r="H30" s="4" t="s">
        <v>16</v>
      </c>
    </row>
    <row r="31" spans="1:8" x14ac:dyDescent="0.3">
      <c r="A31" s="4" t="s">
        <v>63</v>
      </c>
      <c r="D31" s="3"/>
      <c r="E31" s="6"/>
      <c r="F31" s="3"/>
    </row>
    <row r="32" spans="1:8" x14ac:dyDescent="0.3">
      <c r="A32" s="4" t="s">
        <v>64</v>
      </c>
      <c r="B32" s="4" t="s">
        <v>13</v>
      </c>
      <c r="D32" s="3" t="s">
        <v>168</v>
      </c>
      <c r="E32" s="6"/>
      <c r="F32" s="3"/>
    </row>
    <row r="33" spans="1:8" x14ac:dyDescent="0.3">
      <c r="A33" s="4" t="s">
        <v>65</v>
      </c>
      <c r="B33" s="4" t="s">
        <v>13</v>
      </c>
      <c r="C33" s="5">
        <v>1664750</v>
      </c>
      <c r="D33" s="7" t="s">
        <v>66</v>
      </c>
      <c r="E33" s="6">
        <v>23480979</v>
      </c>
      <c r="F33" s="3"/>
      <c r="G33" s="4" t="s">
        <v>15</v>
      </c>
      <c r="H33" s="4" t="s">
        <v>16</v>
      </c>
    </row>
    <row r="34" spans="1:8" x14ac:dyDescent="0.3">
      <c r="A34" s="4" t="s">
        <v>67</v>
      </c>
      <c r="B34" s="4" t="s">
        <v>13</v>
      </c>
      <c r="C34" s="5">
        <v>1462100</v>
      </c>
      <c r="D34" s="3" t="s">
        <v>68</v>
      </c>
      <c r="E34" s="6">
        <v>23480945</v>
      </c>
      <c r="F34" s="3"/>
      <c r="G34" s="4" t="s">
        <v>15</v>
      </c>
      <c r="H34" s="4" t="s">
        <v>16</v>
      </c>
    </row>
    <row r="35" spans="1:8" x14ac:dyDescent="0.3">
      <c r="A35" s="4" t="s">
        <v>69</v>
      </c>
      <c r="B35" s="4" t="s">
        <v>25</v>
      </c>
      <c r="D35" s="3" t="s">
        <v>70</v>
      </c>
      <c r="E35" s="6"/>
      <c r="F35" s="3"/>
    </row>
    <row r="36" spans="1:8" x14ac:dyDescent="0.3">
      <c r="A36" s="4" t="s">
        <v>71</v>
      </c>
      <c r="B36" s="4" t="s">
        <v>25</v>
      </c>
      <c r="C36" s="5">
        <v>4181400</v>
      </c>
      <c r="D36" s="7" t="s">
        <v>72</v>
      </c>
      <c r="E36" s="6">
        <v>5172</v>
      </c>
      <c r="F36" s="3"/>
      <c r="G36" s="4" t="s">
        <v>15</v>
      </c>
      <c r="H36" s="4" t="s">
        <v>27</v>
      </c>
    </row>
    <row r="37" spans="1:8" x14ac:dyDescent="0.3">
      <c r="A37" s="4" t="s">
        <v>73</v>
      </c>
      <c r="B37" s="4" t="s">
        <v>13</v>
      </c>
      <c r="C37" s="5">
        <v>2022400</v>
      </c>
      <c r="D37" s="3" t="s">
        <v>74</v>
      </c>
      <c r="E37" s="6">
        <v>130623</v>
      </c>
      <c r="F37" s="19" t="s">
        <v>489</v>
      </c>
      <c r="G37" s="4" t="s">
        <v>15</v>
      </c>
      <c r="H37" s="4" t="s">
        <v>16</v>
      </c>
    </row>
    <row r="38" spans="1:8" x14ac:dyDescent="0.3">
      <c r="A38" s="4" t="s">
        <v>75</v>
      </c>
      <c r="D38" s="3"/>
      <c r="E38" s="6"/>
      <c r="F38" s="3"/>
    </row>
    <row r="39" spans="1:8" x14ac:dyDescent="0.3">
      <c r="A39" s="4" t="s">
        <v>76</v>
      </c>
      <c r="B39" s="4" t="s">
        <v>25</v>
      </c>
      <c r="C39" s="5">
        <v>1310800</v>
      </c>
      <c r="D39" s="3" t="s">
        <v>77</v>
      </c>
      <c r="E39" s="6">
        <v>89091</v>
      </c>
      <c r="F39" s="3"/>
      <c r="G39" s="4" t="s">
        <v>15</v>
      </c>
      <c r="H39" s="4" t="s">
        <v>27</v>
      </c>
    </row>
    <row r="40" spans="1:8" x14ac:dyDescent="0.3">
      <c r="A40" s="4" t="s">
        <v>78</v>
      </c>
      <c r="B40" s="4" t="s">
        <v>13</v>
      </c>
      <c r="C40" s="5">
        <v>8000000</v>
      </c>
      <c r="D40" s="3" t="s">
        <v>500</v>
      </c>
      <c r="E40" s="20">
        <v>22769195</v>
      </c>
      <c r="F40" s="3"/>
      <c r="G40" s="4" t="s">
        <v>15</v>
      </c>
      <c r="H40" s="4" t="s">
        <v>16</v>
      </c>
    </row>
    <row r="41" spans="1:8" x14ac:dyDescent="0.3">
      <c r="A41" s="4" t="s">
        <v>79</v>
      </c>
      <c r="B41" s="4" t="s">
        <v>13</v>
      </c>
      <c r="C41" s="5">
        <v>7900000</v>
      </c>
      <c r="D41" s="3" t="s">
        <v>201</v>
      </c>
      <c r="E41" s="6"/>
      <c r="F41" s="3"/>
      <c r="G41" s="4" t="s">
        <v>15</v>
      </c>
      <c r="H41" s="4" t="s">
        <v>16</v>
      </c>
    </row>
    <row r="42" spans="1:8" x14ac:dyDescent="0.3">
      <c r="A42" s="4" t="s">
        <v>80</v>
      </c>
      <c r="B42" s="4" t="s">
        <v>13</v>
      </c>
      <c r="C42" s="5">
        <v>574300</v>
      </c>
      <c r="D42" s="7" t="s">
        <v>115</v>
      </c>
      <c r="E42" s="6">
        <v>23480977</v>
      </c>
      <c r="F42" s="3"/>
      <c r="G42" s="4" t="s">
        <v>15</v>
      </c>
      <c r="H42" s="4" t="s">
        <v>16</v>
      </c>
    </row>
    <row r="43" spans="1:8" x14ac:dyDescent="0.3">
      <c r="A43" s="4" t="s">
        <v>81</v>
      </c>
      <c r="B43" s="4" t="s">
        <v>9</v>
      </c>
      <c r="C43" s="5">
        <v>1022400</v>
      </c>
      <c r="D43" s="3" t="s">
        <v>82</v>
      </c>
      <c r="E43" s="6">
        <v>2125088</v>
      </c>
      <c r="F43" s="3"/>
      <c r="G43" s="4" t="s">
        <v>11</v>
      </c>
    </row>
    <row r="44" spans="1:8" x14ac:dyDescent="0.3">
      <c r="A44" s="4" t="s">
        <v>83</v>
      </c>
      <c r="B44" s="4" t="s">
        <v>13</v>
      </c>
      <c r="C44" s="5">
        <v>4210800</v>
      </c>
      <c r="D44" s="16" t="s">
        <v>313</v>
      </c>
      <c r="E44" s="6"/>
      <c r="F44" s="3"/>
      <c r="G44" s="4" t="s">
        <v>15</v>
      </c>
      <c r="H44" s="4" t="s">
        <v>16</v>
      </c>
    </row>
    <row r="45" spans="1:8" x14ac:dyDescent="0.3">
      <c r="A45" s="4" t="s">
        <v>85</v>
      </c>
      <c r="B45" s="4" t="s">
        <v>13</v>
      </c>
      <c r="C45" s="5">
        <v>4524200</v>
      </c>
      <c r="D45" s="3" t="s">
        <v>86</v>
      </c>
      <c r="E45" s="6">
        <v>140952</v>
      </c>
      <c r="F45" s="3" t="s">
        <v>503</v>
      </c>
      <c r="G45" s="4" t="s">
        <v>15</v>
      </c>
      <c r="H45" s="4" t="s">
        <v>16</v>
      </c>
    </row>
    <row r="46" spans="1:8" x14ac:dyDescent="0.3">
      <c r="A46" s="4" t="s">
        <v>87</v>
      </c>
      <c r="B46" s="4" t="s">
        <v>25</v>
      </c>
      <c r="C46" s="5">
        <v>4444700</v>
      </c>
      <c r="D46" s="3" t="s">
        <v>88</v>
      </c>
      <c r="E46" s="6" t="s">
        <v>494</v>
      </c>
      <c r="F46" s="3" t="s">
        <v>501</v>
      </c>
      <c r="G46" s="4" t="s">
        <v>15</v>
      </c>
      <c r="H46" s="4" t="s">
        <v>27</v>
      </c>
    </row>
    <row r="47" spans="1:8" x14ac:dyDescent="0.3">
      <c r="A47" s="4" t="s">
        <v>89</v>
      </c>
      <c r="B47" s="4" t="s">
        <v>13</v>
      </c>
      <c r="C47" s="5">
        <v>3199400</v>
      </c>
      <c r="D47" s="3" t="s">
        <v>90</v>
      </c>
      <c r="E47" s="6"/>
      <c r="F47" s="3"/>
      <c r="G47" s="4" t="s">
        <v>15</v>
      </c>
      <c r="H47" s="4" t="s">
        <v>16</v>
      </c>
    </row>
    <row r="48" spans="1:8" x14ac:dyDescent="0.3">
      <c r="A48" s="4" t="s">
        <v>91</v>
      </c>
      <c r="B48" s="4" t="s">
        <v>9</v>
      </c>
      <c r="C48" s="5">
        <v>1600000</v>
      </c>
      <c r="D48" s="7" t="s">
        <v>92</v>
      </c>
      <c r="E48" s="6">
        <v>675174</v>
      </c>
      <c r="F48" s="3"/>
      <c r="G48" s="4" t="s">
        <v>11</v>
      </c>
    </row>
    <row r="49" spans="1:8" x14ac:dyDescent="0.3">
      <c r="A49" s="4" t="s">
        <v>419</v>
      </c>
      <c r="B49" s="4" t="s">
        <v>25</v>
      </c>
      <c r="C49" s="5">
        <v>10207800</v>
      </c>
      <c r="D49" s="7" t="s">
        <v>472</v>
      </c>
      <c r="E49" s="6" t="s">
        <v>498</v>
      </c>
      <c r="F49" s="3" t="s">
        <v>502</v>
      </c>
      <c r="G49" s="4" t="s">
        <v>15</v>
      </c>
      <c r="H49" s="4" t="s">
        <v>27</v>
      </c>
    </row>
    <row r="50" spans="1:8" x14ac:dyDescent="0.3">
      <c r="A50" s="4" t="s">
        <v>93</v>
      </c>
      <c r="B50" s="4" t="s">
        <v>13</v>
      </c>
      <c r="C50" s="5">
        <v>2204500</v>
      </c>
      <c r="D50" s="3" t="s">
        <v>259</v>
      </c>
      <c r="E50" s="6">
        <v>128966</v>
      </c>
      <c r="F50" s="3" t="s">
        <v>488</v>
      </c>
      <c r="G50" s="4" t="s">
        <v>15</v>
      </c>
      <c r="H50" s="4" t="s">
        <v>16</v>
      </c>
    </row>
    <row r="51" spans="1:8" x14ac:dyDescent="0.3">
      <c r="A51" s="4" t="s">
        <v>95</v>
      </c>
      <c r="B51" s="4" t="s">
        <v>13</v>
      </c>
      <c r="D51" s="7" t="s">
        <v>170</v>
      </c>
      <c r="E51" s="6"/>
      <c r="F51" s="3"/>
    </row>
    <row r="52" spans="1:8" x14ac:dyDescent="0.3">
      <c r="A52" s="4" t="s">
        <v>96</v>
      </c>
      <c r="B52" s="4" t="s">
        <v>13</v>
      </c>
      <c r="C52" s="5">
        <v>643100</v>
      </c>
      <c r="D52" s="7" t="s">
        <v>307</v>
      </c>
      <c r="E52" s="6">
        <v>121224</v>
      </c>
      <c r="F52" s="19" t="s">
        <v>389</v>
      </c>
      <c r="G52" s="4" t="s">
        <v>15</v>
      </c>
      <c r="H52" s="4" t="s">
        <v>16</v>
      </c>
    </row>
    <row r="53" spans="1:8" x14ac:dyDescent="0.3">
      <c r="A53" s="4" t="s">
        <v>98</v>
      </c>
      <c r="B53" s="4" t="s">
        <v>9</v>
      </c>
      <c r="C53" s="5">
        <v>1444000</v>
      </c>
      <c r="D53" s="3" t="s">
        <v>99</v>
      </c>
      <c r="E53" s="6">
        <v>2125089</v>
      </c>
      <c r="F53" s="3"/>
      <c r="G53" s="4" t="s">
        <v>11</v>
      </c>
    </row>
    <row r="54" spans="1:8" x14ac:dyDescent="0.3">
      <c r="A54" s="4" t="s">
        <v>100</v>
      </c>
      <c r="B54" s="4" t="s">
        <v>9</v>
      </c>
      <c r="C54" s="5">
        <v>874900</v>
      </c>
      <c r="D54" s="8" t="s">
        <v>326</v>
      </c>
      <c r="E54" s="9">
        <v>10329105</v>
      </c>
      <c r="F54" s="7"/>
      <c r="G54" s="7" t="s">
        <v>11</v>
      </c>
    </row>
    <row r="55" spans="1:8" x14ac:dyDescent="0.3">
      <c r="A55" s="4" t="s">
        <v>102</v>
      </c>
      <c r="B55" s="4" t="s">
        <v>9</v>
      </c>
      <c r="C55" s="5">
        <v>2867900</v>
      </c>
      <c r="D55" s="3" t="s">
        <v>103</v>
      </c>
      <c r="E55" s="6">
        <v>617667</v>
      </c>
      <c r="F55" s="3"/>
      <c r="G55" s="4" t="s">
        <v>11</v>
      </c>
    </row>
    <row r="56" spans="1:8" x14ac:dyDescent="0.3">
      <c r="A56" s="4" t="s">
        <v>104</v>
      </c>
      <c r="B56" s="4" t="s">
        <v>9</v>
      </c>
      <c r="C56" s="5">
        <v>2824950</v>
      </c>
      <c r="D56" s="3" t="s">
        <v>105</v>
      </c>
      <c r="E56" s="6">
        <v>750111</v>
      </c>
      <c r="F56" s="3"/>
      <c r="G56" s="4" t="s">
        <v>11</v>
      </c>
    </row>
    <row r="57" spans="1:8" x14ac:dyDescent="0.3">
      <c r="A57" s="4" t="s">
        <v>106</v>
      </c>
      <c r="B57" s="4" t="s">
        <v>13</v>
      </c>
      <c r="C57" s="5">
        <v>2908000</v>
      </c>
      <c r="D57" s="3" t="s">
        <v>107</v>
      </c>
      <c r="E57" s="6">
        <v>135006</v>
      </c>
      <c r="F57" s="3" t="s">
        <v>493</v>
      </c>
      <c r="G57" s="4" t="s">
        <v>15</v>
      </c>
      <c r="H57" s="4" t="s">
        <v>16</v>
      </c>
    </row>
    <row r="58" spans="1:8" x14ac:dyDescent="0.3">
      <c r="A58" s="4" t="s">
        <v>108</v>
      </c>
      <c r="B58" s="4" t="s">
        <v>13</v>
      </c>
      <c r="C58" s="5">
        <v>3530600</v>
      </c>
      <c r="D58" s="7" t="s">
        <v>135</v>
      </c>
      <c r="E58" s="6">
        <v>140337</v>
      </c>
      <c r="F58" s="3" t="s">
        <v>497</v>
      </c>
      <c r="G58" s="4" t="s">
        <v>15</v>
      </c>
      <c r="H58" s="4" t="s">
        <v>16</v>
      </c>
    </row>
    <row r="59" spans="1:8" x14ac:dyDescent="0.3">
      <c r="A59" s="4" t="s">
        <v>109</v>
      </c>
      <c r="B59" s="4" t="s">
        <v>13</v>
      </c>
      <c r="C59" s="5">
        <v>1181100</v>
      </c>
      <c r="D59" s="3" t="s">
        <v>110</v>
      </c>
      <c r="E59" s="6"/>
      <c r="F59" s="3"/>
      <c r="G59" s="4" t="s">
        <v>15</v>
      </c>
      <c r="H59" s="4" t="s">
        <v>16</v>
      </c>
    </row>
    <row r="60" spans="1:8" x14ac:dyDescent="0.3">
      <c r="A60" s="4" t="s">
        <v>111</v>
      </c>
      <c r="B60" s="4" t="s">
        <v>25</v>
      </c>
      <c r="C60" s="5">
        <v>2337600</v>
      </c>
      <c r="D60" s="3" t="s">
        <v>475</v>
      </c>
      <c r="E60" s="15">
        <v>2102666442</v>
      </c>
      <c r="F60" s="3" t="s">
        <v>476</v>
      </c>
      <c r="G60" s="4" t="s">
        <v>15</v>
      </c>
      <c r="H60" s="4" t="s">
        <v>16</v>
      </c>
    </row>
    <row r="61" spans="1:8" x14ac:dyDescent="0.3">
      <c r="A61" s="4" t="s">
        <v>113</v>
      </c>
      <c r="B61" s="4" t="s">
        <v>25</v>
      </c>
      <c r="C61" s="5">
        <v>6544630</v>
      </c>
      <c r="D61" s="3" t="s">
        <v>92</v>
      </c>
      <c r="E61" s="6" t="s">
        <v>494</v>
      </c>
      <c r="F61" s="3" t="s">
        <v>495</v>
      </c>
      <c r="G61" s="4" t="s">
        <v>15</v>
      </c>
      <c r="H61" s="4" t="s">
        <v>27</v>
      </c>
    </row>
    <row r="62" spans="1:8" s="10" customFormat="1" ht="15" thickBot="1" x14ac:dyDescent="0.35">
      <c r="A62" s="10" t="s">
        <v>114</v>
      </c>
      <c r="B62" s="4"/>
      <c r="C62" s="11">
        <f>SUM(C2:C61)</f>
        <v>127890800</v>
      </c>
      <c r="D62" s="4"/>
    </row>
    <row r="63" spans="1:8" ht="15" thickTop="1" x14ac:dyDescent="0.3"/>
    <row r="68" spans="4:4" x14ac:dyDescent="0.3">
      <c r="D68" s="12"/>
    </row>
  </sheetData>
  <conditionalFormatting sqref="F14:F15 I20:I27">
    <cfRule type="containsText" dxfId="163" priority="65" operator="containsText" text="No">
      <formula>NOT(ISERROR(SEARCH("No",F14)))</formula>
    </cfRule>
    <cfRule type="containsText" dxfId="162" priority="66" operator="containsText" text="Yes">
      <formula>NOT(ISERROR(SEARCH("Yes",F14)))</formula>
    </cfRule>
  </conditionalFormatting>
  <conditionalFormatting sqref="G1">
    <cfRule type="containsText" dxfId="161" priority="87" operator="containsText" text="No">
      <formula>NOT(ISERROR(SEARCH("No",G1)))</formula>
    </cfRule>
    <cfRule type="containsText" dxfId="160" priority="88" operator="containsText" text="Yes">
      <formula>NOT(ISERROR(SEARCH("Yes",G1)))</formula>
    </cfRule>
  </conditionalFormatting>
  <conditionalFormatting sqref="G16 G19">
    <cfRule type="containsText" dxfId="159" priority="77" operator="containsText" text="No">
      <formula>NOT(ISERROR(SEARCH("No",G16)))</formula>
    </cfRule>
    <cfRule type="containsText" dxfId="158" priority="78" operator="containsText" text="Yes">
      <formula>NOT(ISERROR(SEARCH("Yes",G16)))</formula>
    </cfRule>
  </conditionalFormatting>
  <conditionalFormatting sqref="G29">
    <cfRule type="containsText" dxfId="157" priority="75" operator="containsText" text="No">
      <formula>NOT(ISERROR(SEARCH("No",G29)))</formula>
    </cfRule>
    <cfRule type="containsText" dxfId="156" priority="76" operator="containsText" text="Yes">
      <formula>NOT(ISERROR(SEARCH("Yes",G29)))</formula>
    </cfRule>
  </conditionalFormatting>
  <conditionalFormatting sqref="G40">
    <cfRule type="containsText" dxfId="155" priority="91" operator="containsText" text="No">
      <formula>NOT(ISERROR(SEARCH("No",G40)))</formula>
    </cfRule>
    <cfRule type="containsText" dxfId="154" priority="92" operator="containsText" text="Yes">
      <formula>NOT(ISERROR(SEARCH("Yes",G40)))</formula>
    </cfRule>
  </conditionalFormatting>
  <conditionalFormatting sqref="G43">
    <cfRule type="containsText" dxfId="153" priority="85" operator="containsText" text="No">
      <formula>NOT(ISERROR(SEARCH("No",G43)))</formula>
    </cfRule>
    <cfRule type="containsText" dxfId="152" priority="86" operator="containsText" text="Yes">
      <formula>NOT(ISERROR(SEARCH("Yes",G43)))</formula>
    </cfRule>
  </conditionalFormatting>
  <conditionalFormatting sqref="G53">
    <cfRule type="containsText" dxfId="151" priority="83" operator="containsText" text="No">
      <formula>NOT(ISERROR(SEARCH("No",G53)))</formula>
    </cfRule>
    <cfRule type="containsText" dxfId="150" priority="84" operator="containsText" text="Yes">
      <formula>NOT(ISERROR(SEARCH("Yes",G53)))</formula>
    </cfRule>
  </conditionalFormatting>
  <conditionalFormatting sqref="G62:G1048576">
    <cfRule type="containsText" dxfId="149" priority="89" operator="containsText" text="No">
      <formula>NOT(ISERROR(SEARCH("No",G62)))</formula>
    </cfRule>
    <cfRule type="containsText" dxfId="148" priority="90" operator="containsText" text="Yes">
      <formula>NOT(ISERROR(SEARCH("Yes",G62)))</formula>
    </cfRule>
  </conditionalFormatting>
  <conditionalFormatting sqref="G2:H7">
    <cfRule type="containsText" dxfId="147" priority="1" operator="containsText" text="No">
      <formula>NOT(ISERROR(SEARCH("No",G2)))</formula>
    </cfRule>
    <cfRule type="containsText" dxfId="146" priority="2" operator="containsText" text="Yes">
      <formula>NOT(ISERROR(SEARCH("Yes",G2)))</formula>
    </cfRule>
  </conditionalFormatting>
  <conditionalFormatting sqref="G20:H28">
    <cfRule type="containsText" dxfId="145" priority="19" operator="containsText" text="No">
      <formula>NOT(ISERROR(SEARCH("No",G20)))</formula>
    </cfRule>
    <cfRule type="containsText" dxfId="144" priority="20" operator="containsText" text="Yes">
      <formula>NOT(ISERROR(SEARCH("Yes",G20)))</formula>
    </cfRule>
  </conditionalFormatting>
  <conditionalFormatting sqref="G30:H39">
    <cfRule type="containsText" dxfId="143" priority="9" operator="containsText" text="No">
      <formula>NOT(ISERROR(SEARCH("No",G30)))</formula>
    </cfRule>
    <cfRule type="containsText" dxfId="142" priority="10" operator="containsText" text="Yes">
      <formula>NOT(ISERROR(SEARCH("Yes",G30)))</formula>
    </cfRule>
  </conditionalFormatting>
  <conditionalFormatting sqref="G41:H42">
    <cfRule type="containsText" dxfId="141" priority="21" operator="containsText" text="No">
      <formula>NOT(ISERROR(SEARCH("No",G41)))</formula>
    </cfRule>
    <cfRule type="containsText" dxfId="140" priority="22" operator="containsText" text="Yes">
      <formula>NOT(ISERROR(SEARCH("Yes",G41)))</formula>
    </cfRule>
  </conditionalFormatting>
  <conditionalFormatting sqref="G44:H52">
    <cfRule type="containsText" dxfId="139" priority="5" operator="containsText" text="No">
      <formula>NOT(ISERROR(SEARCH("No",G44)))</formula>
    </cfRule>
    <cfRule type="containsText" dxfId="138" priority="6" operator="containsText" text="Yes">
      <formula>NOT(ISERROR(SEARCH("Yes",G44)))</formula>
    </cfRule>
  </conditionalFormatting>
  <conditionalFormatting sqref="G54:H61">
    <cfRule type="containsText" dxfId="137" priority="45" operator="containsText" text="No">
      <formula>NOT(ISERROR(SEARCH("No",G54)))</formula>
    </cfRule>
    <cfRule type="containsText" dxfId="136" priority="46" operator="containsText" text="Yes">
      <formula>NOT(ISERROR(SEARCH("Yes",G54)))</formula>
    </cfRule>
  </conditionalFormatting>
  <conditionalFormatting sqref="G8:I15">
    <cfRule type="containsText" dxfId="135" priority="29" operator="containsText" text="No">
      <formula>NOT(ISERROR(SEARCH("No",G8)))</formula>
    </cfRule>
    <cfRule type="containsText" dxfId="134" priority="30" operator="containsText" text="Yes">
      <formula>NOT(ISERROR(SEARCH("Yes",G8)))</formula>
    </cfRule>
  </conditionalFormatting>
  <conditionalFormatting sqref="G17:I18">
    <cfRule type="containsText" dxfId="133" priority="15" operator="containsText" text="No">
      <formula>NOT(ISERROR(SEARCH("No",G17)))</formula>
    </cfRule>
    <cfRule type="containsText" dxfId="132" priority="16" operator="containsText" text="Yes">
      <formula>NOT(ISERROR(SEARCH("Yes",G17)))</formula>
    </cfRule>
  </conditionalFormatting>
  <conditionalFormatting sqref="H28">
    <cfRule type="containsText" dxfId="131" priority="79" operator="containsText" text="No">
      <formula>NOT(ISERROR(SEARCH("No",H28)))</formula>
    </cfRule>
    <cfRule type="containsText" dxfId="130" priority="80" operator="containsText" text="Yes">
      <formula>NOT(ISERROR(SEARCH("Yes",H28)))</formula>
    </cfRule>
  </conditionalFormatting>
  <conditionalFormatting sqref="I20">
    <cfRule type="containsText" dxfId="129" priority="81" operator="containsText" text="No">
      <formula>NOT(ISERROR(SEARCH("No",I20)))</formula>
    </cfRule>
    <cfRule type="containsText" dxfId="128" priority="82" operator="containsText" text="Yes">
      <formula>NOT(ISERROR(SEARCH("Yes",I20)))</formula>
    </cfRule>
  </conditionalFormatting>
  <conditionalFormatting sqref="I30">
    <cfRule type="containsText" dxfId="127" priority="73" operator="containsText" text="No">
      <formula>NOT(ISERROR(SEARCH("No",I30)))</formula>
    </cfRule>
    <cfRule type="containsText" dxfId="126" priority="74" operator="containsText" text="Yes">
      <formula>NOT(ISERROR(SEARCH("Yes",I30)))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3E7C7-3CED-4931-9A97-0D13D8AAA5F4}">
  <dimension ref="A1:I68"/>
  <sheetViews>
    <sheetView workbookViewId="0">
      <pane xSplit="1" ySplit="1" topLeftCell="B39" activePane="bottomRight" state="frozen"/>
      <selection pane="topRight" activeCell="B1" sqref="B1"/>
      <selection pane="bottomLeft" activeCell="A2" sqref="A2"/>
      <selection pane="bottomRight" activeCell="H60" sqref="H60"/>
    </sheetView>
  </sheetViews>
  <sheetFormatPr defaultColWidth="10" defaultRowHeight="14.4" x14ac:dyDescent="0.3"/>
  <cols>
    <col min="1" max="1" width="17.5546875" style="4" bestFit="1" customWidth="1"/>
    <col min="2" max="2" width="12.33203125" style="4" bestFit="1" customWidth="1"/>
    <col min="3" max="3" width="18.5546875" style="5" bestFit="1" customWidth="1"/>
    <col min="4" max="4" width="23.88671875" style="4" bestFit="1" customWidth="1"/>
    <col min="5" max="5" width="16.6640625" style="4" bestFit="1" customWidth="1"/>
    <col min="6" max="6" width="14.6640625" style="4" bestFit="1" customWidth="1"/>
    <col min="7" max="7" width="14.6640625" style="4" customWidth="1"/>
    <col min="8" max="8" width="12.109375" style="4" bestFit="1" customWidth="1"/>
    <col min="9" max="9" width="4.33203125" style="4" customWidth="1"/>
    <col min="10" max="16384" width="10" style="4"/>
  </cols>
  <sheetData>
    <row r="1" spans="1:9" s="1" customForma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s="1" customFormat="1" x14ac:dyDescent="0.3">
      <c r="A2" s="3" t="s">
        <v>8</v>
      </c>
      <c r="B2" s="4" t="s">
        <v>9</v>
      </c>
      <c r="C2" s="5">
        <v>3129300</v>
      </c>
      <c r="D2" s="3" t="s">
        <v>10</v>
      </c>
      <c r="E2" s="6">
        <v>20798</v>
      </c>
      <c r="F2" s="3"/>
      <c r="G2" s="4" t="s">
        <v>11</v>
      </c>
      <c r="H2" s="4"/>
      <c r="I2" s="3"/>
    </row>
    <row r="3" spans="1:9" x14ac:dyDescent="0.3">
      <c r="A3" s="4" t="s">
        <v>12</v>
      </c>
      <c r="B3" s="4" t="s">
        <v>13</v>
      </c>
      <c r="C3" s="5">
        <v>962750</v>
      </c>
      <c r="D3" s="3" t="s">
        <v>14</v>
      </c>
      <c r="E3" s="6"/>
      <c r="F3" s="3"/>
      <c r="G3" s="4" t="s">
        <v>15</v>
      </c>
      <c r="H3" s="4" t="s">
        <v>16</v>
      </c>
    </row>
    <row r="4" spans="1:9" x14ac:dyDescent="0.3">
      <c r="A4" s="4" t="s">
        <v>17</v>
      </c>
      <c r="B4" s="4" t="s">
        <v>25</v>
      </c>
      <c r="C4" s="5">
        <v>469700</v>
      </c>
      <c r="D4" s="3" t="s">
        <v>396</v>
      </c>
      <c r="E4" s="6"/>
      <c r="F4" s="3" t="s">
        <v>525</v>
      </c>
      <c r="G4" s="4" t="s">
        <v>15</v>
      </c>
      <c r="H4" s="4" t="s">
        <v>27</v>
      </c>
    </row>
    <row r="5" spans="1:9" x14ac:dyDescent="0.3">
      <c r="A5" s="4" t="s">
        <v>18</v>
      </c>
      <c r="B5" s="4" t="s">
        <v>13</v>
      </c>
      <c r="C5" s="5">
        <v>1075750</v>
      </c>
      <c r="D5" s="3" t="s">
        <v>19</v>
      </c>
      <c r="E5" s="6">
        <v>23480393</v>
      </c>
      <c r="F5" s="3"/>
      <c r="G5" s="4" t="s">
        <v>15</v>
      </c>
      <c r="H5" s="4" t="s">
        <v>16</v>
      </c>
    </row>
    <row r="6" spans="1:9" x14ac:dyDescent="0.3">
      <c r="A6" s="4" t="s">
        <v>20</v>
      </c>
      <c r="B6" s="4" t="s">
        <v>13</v>
      </c>
      <c r="C6" s="5">
        <v>980650</v>
      </c>
      <c r="D6" s="3" t="s">
        <v>21</v>
      </c>
      <c r="E6" s="6">
        <v>25461072</v>
      </c>
      <c r="F6" s="3"/>
      <c r="G6" s="4" t="s">
        <v>15</v>
      </c>
      <c r="H6" s="4" t="s">
        <v>16</v>
      </c>
    </row>
    <row r="7" spans="1:9" x14ac:dyDescent="0.3">
      <c r="A7" s="4" t="s">
        <v>22</v>
      </c>
      <c r="B7" s="4" t="s">
        <v>13</v>
      </c>
      <c r="C7" s="5">
        <v>1697300</v>
      </c>
      <c r="D7" s="3" t="s">
        <v>23</v>
      </c>
      <c r="E7" s="6">
        <v>14081202</v>
      </c>
      <c r="F7" s="3"/>
      <c r="G7" s="4" t="s">
        <v>15</v>
      </c>
      <c r="H7" s="4" t="s">
        <v>16</v>
      </c>
    </row>
    <row r="8" spans="1:9" x14ac:dyDescent="0.3">
      <c r="A8" s="4" t="s">
        <v>24</v>
      </c>
      <c r="B8" s="4" t="s">
        <v>25</v>
      </c>
      <c r="C8" s="5">
        <v>464600</v>
      </c>
      <c r="D8" s="16" t="s">
        <v>26</v>
      </c>
      <c r="E8" s="6" t="s">
        <v>505</v>
      </c>
      <c r="F8" s="3" t="s">
        <v>371</v>
      </c>
      <c r="G8" s="4" t="s">
        <v>15</v>
      </c>
      <c r="H8" s="4" t="s">
        <v>27</v>
      </c>
    </row>
    <row r="9" spans="1:9" x14ac:dyDescent="0.3">
      <c r="A9" s="4" t="s">
        <v>28</v>
      </c>
      <c r="B9" s="4" t="s">
        <v>13</v>
      </c>
      <c r="D9" s="3" t="s">
        <v>29</v>
      </c>
      <c r="E9" s="6"/>
      <c r="F9" s="3"/>
    </row>
    <row r="10" spans="1:9" x14ac:dyDescent="0.3">
      <c r="A10" s="4" t="s">
        <v>30</v>
      </c>
      <c r="B10" s="4" t="s">
        <v>25</v>
      </c>
      <c r="C10" s="5">
        <v>2402300</v>
      </c>
      <c r="D10" s="3" t="s">
        <v>136</v>
      </c>
      <c r="E10" s="6" t="s">
        <v>520</v>
      </c>
      <c r="F10" s="3" t="s">
        <v>521</v>
      </c>
      <c r="G10" s="4" t="s">
        <v>15</v>
      </c>
      <c r="H10" s="4" t="s">
        <v>27</v>
      </c>
    </row>
    <row r="11" spans="1:9" x14ac:dyDescent="0.3">
      <c r="A11" s="4" t="s">
        <v>31</v>
      </c>
      <c r="B11" s="4" t="s">
        <v>9</v>
      </c>
      <c r="D11" s="3" t="s">
        <v>152</v>
      </c>
      <c r="E11" s="6"/>
      <c r="F11" s="3"/>
    </row>
    <row r="12" spans="1:9" x14ac:dyDescent="0.3">
      <c r="A12" s="4" t="s">
        <v>32</v>
      </c>
      <c r="B12" s="4" t="s">
        <v>9</v>
      </c>
      <c r="C12" s="5">
        <v>3214000</v>
      </c>
      <c r="D12" s="16" t="s">
        <v>137</v>
      </c>
      <c r="E12" s="6">
        <v>19059942</v>
      </c>
      <c r="F12" s="3"/>
      <c r="G12" s="4" t="s">
        <v>11</v>
      </c>
    </row>
    <row r="13" spans="1:9" x14ac:dyDescent="0.3">
      <c r="A13" s="4" t="s">
        <v>33</v>
      </c>
      <c r="B13" s="4" t="s">
        <v>13</v>
      </c>
      <c r="C13" s="5">
        <v>604850</v>
      </c>
      <c r="D13" s="3" t="s">
        <v>323</v>
      </c>
      <c r="E13" s="6"/>
      <c r="F13" s="3"/>
      <c r="G13" s="4" t="s">
        <v>15</v>
      </c>
      <c r="H13" s="4" t="s">
        <v>16</v>
      </c>
    </row>
    <row r="14" spans="1:9" x14ac:dyDescent="0.3">
      <c r="A14" s="4" t="s">
        <v>35</v>
      </c>
      <c r="B14" s="4" t="s">
        <v>13</v>
      </c>
      <c r="C14" s="5">
        <v>353450</v>
      </c>
      <c r="D14" s="3" t="s">
        <v>408</v>
      </c>
      <c r="E14" s="6">
        <v>137313</v>
      </c>
      <c r="F14" s="4" t="s">
        <v>516</v>
      </c>
      <c r="G14" s="4" t="s">
        <v>15</v>
      </c>
      <c r="H14" s="4" t="s">
        <v>16</v>
      </c>
    </row>
    <row r="15" spans="1:9" x14ac:dyDescent="0.3">
      <c r="A15" s="4" t="s">
        <v>37</v>
      </c>
      <c r="B15" s="4" t="s">
        <v>13</v>
      </c>
      <c r="C15" s="5">
        <v>742740</v>
      </c>
      <c r="D15" s="3" t="s">
        <v>38</v>
      </c>
      <c r="E15" s="6"/>
      <c r="G15" s="4" t="s">
        <v>15</v>
      </c>
      <c r="H15" s="4" t="s">
        <v>16</v>
      </c>
    </row>
    <row r="16" spans="1:9" x14ac:dyDescent="0.3">
      <c r="A16" s="4" t="s">
        <v>39</v>
      </c>
      <c r="D16" s="3"/>
      <c r="E16" s="6"/>
      <c r="F16" s="3"/>
    </row>
    <row r="17" spans="1:8" x14ac:dyDescent="0.3">
      <c r="A17" s="4" t="s">
        <v>40</v>
      </c>
      <c r="B17" s="4" t="s">
        <v>13</v>
      </c>
      <c r="C17" s="5">
        <v>2491600</v>
      </c>
      <c r="D17" s="3" t="s">
        <v>41</v>
      </c>
      <c r="E17" s="6"/>
      <c r="F17" s="3"/>
      <c r="G17" s="4" t="s">
        <v>15</v>
      </c>
      <c r="H17" s="4" t="s">
        <v>16</v>
      </c>
    </row>
    <row r="18" spans="1:8" x14ac:dyDescent="0.3">
      <c r="A18" s="4" t="s">
        <v>42</v>
      </c>
      <c r="B18" s="4" t="s">
        <v>13</v>
      </c>
      <c r="C18" s="5">
        <v>909400</v>
      </c>
      <c r="D18" s="3" t="s">
        <v>128</v>
      </c>
      <c r="E18" s="6"/>
      <c r="F18" s="3"/>
      <c r="G18" s="4" t="s">
        <v>15</v>
      </c>
      <c r="H18" s="4" t="s">
        <v>16</v>
      </c>
    </row>
    <row r="19" spans="1:8" x14ac:dyDescent="0.3">
      <c r="A19" s="4" t="s">
        <v>43</v>
      </c>
      <c r="D19" s="3"/>
      <c r="E19" s="6"/>
      <c r="F19" s="3"/>
    </row>
    <row r="20" spans="1:8" x14ac:dyDescent="0.3">
      <c r="A20" s="4" t="s">
        <v>44</v>
      </c>
      <c r="B20" s="4" t="s">
        <v>25</v>
      </c>
      <c r="C20" s="5">
        <v>1839900</v>
      </c>
      <c r="D20" s="3" t="s">
        <v>45</v>
      </c>
      <c r="E20" s="6" t="s">
        <v>510</v>
      </c>
      <c r="F20" s="3" t="s">
        <v>511</v>
      </c>
      <c r="G20" s="4" t="s">
        <v>15</v>
      </c>
      <c r="H20" s="4" t="s">
        <v>27</v>
      </c>
    </row>
    <row r="21" spans="1:8" x14ac:dyDescent="0.3">
      <c r="A21" s="4" t="s">
        <v>46</v>
      </c>
      <c r="B21" s="4" t="s">
        <v>25</v>
      </c>
      <c r="C21" s="5">
        <v>1245100</v>
      </c>
      <c r="D21" s="3" t="s">
        <v>504</v>
      </c>
      <c r="E21" s="6" t="s">
        <v>505</v>
      </c>
      <c r="F21" s="3" t="s">
        <v>506</v>
      </c>
      <c r="G21" s="4" t="s">
        <v>15</v>
      </c>
      <c r="H21" s="4" t="s">
        <v>27</v>
      </c>
    </row>
    <row r="22" spans="1:8" x14ac:dyDescent="0.3">
      <c r="A22" s="4" t="s">
        <v>49</v>
      </c>
      <c r="B22" s="4" t="s">
        <v>13</v>
      </c>
      <c r="C22" s="5">
        <v>1423170</v>
      </c>
      <c r="D22" s="3" t="s">
        <v>50</v>
      </c>
      <c r="E22" s="6"/>
      <c r="F22" s="3"/>
      <c r="G22" s="4" t="s">
        <v>15</v>
      </c>
      <c r="H22" s="4" t="s">
        <v>16</v>
      </c>
    </row>
    <row r="23" spans="1:8" x14ac:dyDescent="0.3">
      <c r="A23" s="4" t="s">
        <v>51</v>
      </c>
      <c r="B23" s="4" t="s">
        <v>13</v>
      </c>
      <c r="C23" s="5">
        <v>2599550</v>
      </c>
      <c r="D23" s="5" t="s">
        <v>215</v>
      </c>
      <c r="E23" s="6">
        <v>124163</v>
      </c>
      <c r="F23" s="3" t="s">
        <v>508</v>
      </c>
      <c r="G23" s="4" t="s">
        <v>15</v>
      </c>
      <c r="H23" s="4" t="s">
        <v>16</v>
      </c>
    </row>
    <row r="24" spans="1:8" x14ac:dyDescent="0.3">
      <c r="A24" s="4" t="s">
        <v>52</v>
      </c>
      <c r="B24" s="4" t="s">
        <v>13</v>
      </c>
      <c r="C24" s="5">
        <v>1166300</v>
      </c>
      <c r="D24" s="3" t="s">
        <v>294</v>
      </c>
      <c r="E24" s="6">
        <v>25461109</v>
      </c>
      <c r="F24" s="3"/>
      <c r="G24" s="4" t="s">
        <v>15</v>
      </c>
      <c r="H24" s="4" t="s">
        <v>16</v>
      </c>
    </row>
    <row r="25" spans="1:8" x14ac:dyDescent="0.3">
      <c r="A25" s="4" t="s">
        <v>53</v>
      </c>
      <c r="B25" s="4" t="s">
        <v>9</v>
      </c>
      <c r="C25" s="5">
        <v>4682600</v>
      </c>
      <c r="D25" s="3" t="s">
        <v>54</v>
      </c>
      <c r="E25" s="6">
        <v>6472856</v>
      </c>
      <c r="F25" s="3"/>
      <c r="G25" s="4" t="s">
        <v>11</v>
      </c>
    </row>
    <row r="26" spans="1:8" x14ac:dyDescent="0.3">
      <c r="A26" s="4" t="s">
        <v>55</v>
      </c>
      <c r="B26" s="4" t="s">
        <v>13</v>
      </c>
      <c r="C26" s="5">
        <v>936850</v>
      </c>
      <c r="D26" s="3" t="s">
        <v>56</v>
      </c>
      <c r="E26" s="6">
        <v>121715</v>
      </c>
      <c r="F26" s="3" t="s">
        <v>507</v>
      </c>
      <c r="G26" s="4" t="s">
        <v>15</v>
      </c>
      <c r="H26" s="4" t="s">
        <v>16</v>
      </c>
    </row>
    <row r="27" spans="1:8" x14ac:dyDescent="0.3">
      <c r="A27" s="4" t="s">
        <v>57</v>
      </c>
      <c r="B27" s="4" t="s">
        <v>13</v>
      </c>
      <c r="C27" s="5">
        <v>660755</v>
      </c>
      <c r="D27" s="3" t="s">
        <v>58</v>
      </c>
      <c r="E27" s="6">
        <v>125292</v>
      </c>
      <c r="F27" s="3" t="s">
        <v>518</v>
      </c>
      <c r="G27" s="4" t="s">
        <v>15</v>
      </c>
      <c r="H27" s="4" t="s">
        <v>16</v>
      </c>
    </row>
    <row r="28" spans="1:8" x14ac:dyDescent="0.3">
      <c r="A28" s="4" t="s">
        <v>59</v>
      </c>
      <c r="B28" s="4" t="s">
        <v>25</v>
      </c>
      <c r="D28" s="3" t="s">
        <v>414</v>
      </c>
      <c r="E28" s="6"/>
      <c r="F28" s="3"/>
      <c r="G28" s="7"/>
      <c r="H28" s="5"/>
    </row>
    <row r="29" spans="1:8" x14ac:dyDescent="0.3">
      <c r="A29" s="4" t="s">
        <v>60</v>
      </c>
      <c r="D29" s="3"/>
      <c r="E29" s="6"/>
      <c r="F29" s="3"/>
    </row>
    <row r="30" spans="1:8" x14ac:dyDescent="0.3">
      <c r="A30" s="4" t="s">
        <v>61</v>
      </c>
      <c r="B30" s="4" t="s">
        <v>13</v>
      </c>
      <c r="C30" s="5">
        <v>1931550</v>
      </c>
      <c r="D30" s="3" t="s">
        <v>243</v>
      </c>
      <c r="E30" s="6">
        <v>22813043</v>
      </c>
      <c r="F30" s="3"/>
      <c r="G30" s="4" t="s">
        <v>15</v>
      </c>
      <c r="H30" s="4" t="s">
        <v>16</v>
      </c>
    </row>
    <row r="31" spans="1:8" x14ac:dyDescent="0.3">
      <c r="A31" s="4" t="s">
        <v>63</v>
      </c>
      <c r="D31" s="3"/>
      <c r="E31" s="6"/>
      <c r="F31" s="3"/>
    </row>
    <row r="32" spans="1:8" x14ac:dyDescent="0.3">
      <c r="A32" s="4" t="s">
        <v>64</v>
      </c>
      <c r="B32" s="4" t="s">
        <v>13</v>
      </c>
      <c r="C32" s="5">
        <v>1108400</v>
      </c>
      <c r="D32" s="3" t="s">
        <v>168</v>
      </c>
      <c r="E32" s="6">
        <v>23480997</v>
      </c>
      <c r="F32" s="3"/>
      <c r="G32" s="4" t="s">
        <v>15</v>
      </c>
      <c r="H32" s="4" t="s">
        <v>16</v>
      </c>
    </row>
    <row r="33" spans="1:8" x14ac:dyDescent="0.3">
      <c r="A33" s="4" t="s">
        <v>65</v>
      </c>
      <c r="B33" s="4" t="s">
        <v>13</v>
      </c>
      <c r="D33" s="7" t="s">
        <v>66</v>
      </c>
      <c r="E33" s="6"/>
      <c r="F33" s="3"/>
    </row>
    <row r="34" spans="1:8" x14ac:dyDescent="0.3">
      <c r="A34" s="4" t="s">
        <v>67</v>
      </c>
      <c r="B34" s="4" t="s">
        <v>13</v>
      </c>
      <c r="C34" s="5">
        <v>1589000</v>
      </c>
      <c r="D34" s="3" t="s">
        <v>68</v>
      </c>
      <c r="E34" s="6">
        <v>23480994</v>
      </c>
      <c r="F34" s="3"/>
      <c r="G34" s="4" t="s">
        <v>15</v>
      </c>
      <c r="H34" s="4" t="s">
        <v>16</v>
      </c>
    </row>
    <row r="35" spans="1:8" x14ac:dyDescent="0.3">
      <c r="A35" s="4" t="s">
        <v>69</v>
      </c>
      <c r="B35" s="4" t="s">
        <v>25</v>
      </c>
      <c r="C35" s="5">
        <v>2293320</v>
      </c>
      <c r="D35" s="3" t="s">
        <v>70</v>
      </c>
      <c r="E35" s="6" t="s">
        <v>513</v>
      </c>
      <c r="F35" s="3" t="s">
        <v>485</v>
      </c>
      <c r="G35" s="4" t="s">
        <v>15</v>
      </c>
      <c r="H35" s="4" t="s">
        <v>27</v>
      </c>
    </row>
    <row r="36" spans="1:8" x14ac:dyDescent="0.3">
      <c r="A36" s="4" t="s">
        <v>71</v>
      </c>
      <c r="B36" s="4" t="s">
        <v>25</v>
      </c>
      <c r="C36" s="5">
        <v>3876800</v>
      </c>
      <c r="D36" s="7" t="s">
        <v>72</v>
      </c>
      <c r="E36" s="6">
        <v>4975177</v>
      </c>
      <c r="F36" s="3"/>
      <c r="G36" s="4" t="s">
        <v>15</v>
      </c>
      <c r="H36" s="4" t="s">
        <v>27</v>
      </c>
    </row>
    <row r="37" spans="1:8" x14ac:dyDescent="0.3">
      <c r="A37" s="4" t="s">
        <v>73</v>
      </c>
      <c r="B37" s="4" t="s">
        <v>13</v>
      </c>
      <c r="C37" s="5">
        <v>1800000</v>
      </c>
      <c r="D37" s="3" t="s">
        <v>74</v>
      </c>
      <c r="E37" s="6">
        <v>134257</v>
      </c>
      <c r="F37" s="19" t="s">
        <v>522</v>
      </c>
      <c r="G37" s="4" t="s">
        <v>15</v>
      </c>
      <c r="H37" s="4" t="s">
        <v>16</v>
      </c>
    </row>
    <row r="38" spans="1:8" x14ac:dyDescent="0.3">
      <c r="A38" s="4" t="s">
        <v>75</v>
      </c>
      <c r="D38" s="3"/>
      <c r="E38" s="6"/>
      <c r="F38" s="3"/>
    </row>
    <row r="39" spans="1:8" x14ac:dyDescent="0.3">
      <c r="A39" s="4" t="s">
        <v>76</v>
      </c>
      <c r="B39" s="4" t="s">
        <v>25</v>
      </c>
      <c r="C39" s="5">
        <v>1508100</v>
      </c>
      <c r="D39" s="3" t="s">
        <v>77</v>
      </c>
      <c r="E39" s="6">
        <v>4975174</v>
      </c>
      <c r="F39" s="3"/>
      <c r="G39" s="4" t="s">
        <v>15</v>
      </c>
      <c r="H39" s="4" t="s">
        <v>27</v>
      </c>
    </row>
    <row r="40" spans="1:8" x14ac:dyDescent="0.3">
      <c r="A40" s="4" t="s">
        <v>78</v>
      </c>
      <c r="B40" s="4" t="s">
        <v>13</v>
      </c>
      <c r="D40" s="3" t="s">
        <v>500</v>
      </c>
      <c r="E40" s="20"/>
      <c r="F40" s="3"/>
    </row>
    <row r="41" spans="1:8" x14ac:dyDescent="0.3">
      <c r="A41" s="4" t="s">
        <v>79</v>
      </c>
      <c r="B41" s="4" t="s">
        <v>13</v>
      </c>
      <c r="C41" s="5">
        <v>7700000</v>
      </c>
      <c r="D41" s="3" t="s">
        <v>201</v>
      </c>
      <c r="E41" s="6"/>
      <c r="F41" s="3"/>
      <c r="G41" s="4" t="s">
        <v>15</v>
      </c>
      <c r="H41" s="4" t="s">
        <v>16</v>
      </c>
    </row>
    <row r="42" spans="1:8" x14ac:dyDescent="0.3">
      <c r="A42" s="4" t="s">
        <v>80</v>
      </c>
      <c r="B42" s="4" t="s">
        <v>13</v>
      </c>
      <c r="D42" s="7" t="s">
        <v>115</v>
      </c>
      <c r="E42" s="6"/>
      <c r="F42" s="3"/>
    </row>
    <row r="43" spans="1:8" x14ac:dyDescent="0.3">
      <c r="A43" s="4" t="s">
        <v>81</v>
      </c>
      <c r="B43" s="4" t="s">
        <v>9</v>
      </c>
      <c r="C43" s="5">
        <v>821600</v>
      </c>
      <c r="D43" s="3" t="s">
        <v>82</v>
      </c>
      <c r="E43" s="6">
        <v>21228070</v>
      </c>
      <c r="F43" s="3"/>
      <c r="G43" s="4" t="s">
        <v>11</v>
      </c>
    </row>
    <row r="44" spans="1:8" x14ac:dyDescent="0.3">
      <c r="A44" s="4" t="s">
        <v>83</v>
      </c>
      <c r="B44" s="4" t="s">
        <v>13</v>
      </c>
      <c r="D44" s="3" t="s">
        <v>313</v>
      </c>
      <c r="E44" s="6"/>
      <c r="F44" s="3"/>
    </row>
    <row r="45" spans="1:8" x14ac:dyDescent="0.3">
      <c r="A45" s="4" t="s">
        <v>85</v>
      </c>
      <c r="B45" s="4" t="s">
        <v>13</v>
      </c>
      <c r="D45" s="3" t="s">
        <v>86</v>
      </c>
      <c r="E45" s="6"/>
      <c r="F45" s="3"/>
    </row>
    <row r="46" spans="1:8" x14ac:dyDescent="0.3">
      <c r="A46" s="4" t="s">
        <v>87</v>
      </c>
      <c r="B46" s="4" t="s">
        <v>25</v>
      </c>
      <c r="C46" s="5">
        <v>2260600</v>
      </c>
      <c r="D46" s="3" t="s">
        <v>88</v>
      </c>
      <c r="E46" s="6" t="s">
        <v>505</v>
      </c>
      <c r="F46" s="3" t="s">
        <v>519</v>
      </c>
      <c r="G46" s="4" t="s">
        <v>15</v>
      </c>
      <c r="H46" s="4" t="s">
        <v>27</v>
      </c>
    </row>
    <row r="47" spans="1:8" x14ac:dyDescent="0.3">
      <c r="A47" s="4" t="s">
        <v>89</v>
      </c>
      <c r="B47" s="4" t="s">
        <v>13</v>
      </c>
      <c r="C47" s="5">
        <v>2657600</v>
      </c>
      <c r="D47" s="3" t="s">
        <v>90</v>
      </c>
      <c r="E47" s="6"/>
      <c r="F47" s="3"/>
      <c r="G47" s="4" t="s">
        <v>15</v>
      </c>
      <c r="H47" s="4" t="s">
        <v>16</v>
      </c>
    </row>
    <row r="48" spans="1:8" x14ac:dyDescent="0.3">
      <c r="A48" s="4" t="s">
        <v>91</v>
      </c>
      <c r="B48" s="4" t="s">
        <v>9</v>
      </c>
      <c r="C48" s="5">
        <v>486000</v>
      </c>
      <c r="D48" s="7" t="s">
        <v>92</v>
      </c>
      <c r="E48" s="6">
        <v>675171</v>
      </c>
      <c r="F48" s="3"/>
      <c r="G48" s="4" t="s">
        <v>11</v>
      </c>
    </row>
    <row r="49" spans="1:8" x14ac:dyDescent="0.3">
      <c r="A49" s="4" t="s">
        <v>419</v>
      </c>
      <c r="B49" s="4" t="s">
        <v>25</v>
      </c>
      <c r="C49" s="5">
        <v>7138450</v>
      </c>
      <c r="D49" s="7" t="s">
        <v>472</v>
      </c>
      <c r="E49" s="6" t="s">
        <v>523</v>
      </c>
      <c r="F49" s="3" t="s">
        <v>524</v>
      </c>
      <c r="G49" s="4" t="s">
        <v>15</v>
      </c>
      <c r="H49" s="4" t="s">
        <v>27</v>
      </c>
    </row>
    <row r="50" spans="1:8" x14ac:dyDescent="0.3">
      <c r="A50" s="4" t="s">
        <v>93</v>
      </c>
      <c r="B50" s="4" t="s">
        <v>13</v>
      </c>
      <c r="C50" s="5">
        <v>1039300</v>
      </c>
      <c r="D50" s="3" t="s">
        <v>259</v>
      </c>
      <c r="E50" s="6">
        <v>129879</v>
      </c>
      <c r="F50" s="3" t="s">
        <v>512</v>
      </c>
      <c r="G50" s="4" t="s">
        <v>15</v>
      </c>
      <c r="H50" s="4" t="s">
        <v>16</v>
      </c>
    </row>
    <row r="51" spans="1:8" x14ac:dyDescent="0.3">
      <c r="A51" s="4" t="s">
        <v>95</v>
      </c>
      <c r="B51" s="4" t="s">
        <v>13</v>
      </c>
      <c r="C51" s="5">
        <v>1558150</v>
      </c>
      <c r="D51" s="7" t="s">
        <v>170</v>
      </c>
      <c r="E51" s="6">
        <v>125562</v>
      </c>
      <c r="F51" s="3" t="s">
        <v>509</v>
      </c>
      <c r="G51" s="4" t="s">
        <v>15</v>
      </c>
      <c r="H51" s="4" t="s">
        <v>16</v>
      </c>
    </row>
    <row r="52" spans="1:8" x14ac:dyDescent="0.3">
      <c r="A52" s="4" t="s">
        <v>96</v>
      </c>
      <c r="B52" s="4" t="s">
        <v>13</v>
      </c>
      <c r="C52" s="5">
        <v>1488100</v>
      </c>
      <c r="D52" s="7" t="s">
        <v>307</v>
      </c>
      <c r="E52" s="6">
        <v>127393</v>
      </c>
      <c r="F52" s="19" t="s">
        <v>511</v>
      </c>
      <c r="G52" s="4" t="s">
        <v>15</v>
      </c>
      <c r="H52" s="4" t="s">
        <v>16</v>
      </c>
    </row>
    <row r="53" spans="1:8" x14ac:dyDescent="0.3">
      <c r="A53" s="4" t="s">
        <v>98</v>
      </c>
      <c r="B53" s="4" t="s">
        <v>9</v>
      </c>
      <c r="C53" s="5">
        <v>1102000</v>
      </c>
      <c r="D53" s="3" t="s">
        <v>99</v>
      </c>
      <c r="E53" s="6">
        <v>21228072</v>
      </c>
      <c r="F53" s="3"/>
      <c r="G53" s="4" t="s">
        <v>11</v>
      </c>
    </row>
    <row r="54" spans="1:8" x14ac:dyDescent="0.3">
      <c r="A54" s="4" t="s">
        <v>100</v>
      </c>
      <c r="B54" s="4" t="s">
        <v>9</v>
      </c>
      <c r="C54" s="5">
        <v>1358700</v>
      </c>
      <c r="D54" s="8" t="s">
        <v>326</v>
      </c>
      <c r="E54" s="9">
        <v>10329109</v>
      </c>
      <c r="F54" s="7"/>
      <c r="G54" s="7" t="s">
        <v>11</v>
      </c>
    </row>
    <row r="55" spans="1:8" x14ac:dyDescent="0.3">
      <c r="A55" s="4" t="s">
        <v>102</v>
      </c>
      <c r="B55" s="4" t="s">
        <v>9</v>
      </c>
      <c r="C55" s="5">
        <v>2255000</v>
      </c>
      <c r="D55" s="3" t="s">
        <v>103</v>
      </c>
      <c r="E55" s="6">
        <v>617669</v>
      </c>
      <c r="F55" s="3"/>
      <c r="G55" s="4" t="s">
        <v>11</v>
      </c>
    </row>
    <row r="56" spans="1:8" x14ac:dyDescent="0.3">
      <c r="A56" s="4" t="s">
        <v>104</v>
      </c>
      <c r="B56" s="4" t="s">
        <v>9</v>
      </c>
      <c r="C56" s="5">
        <v>2959700</v>
      </c>
      <c r="D56" s="3" t="s">
        <v>105</v>
      </c>
      <c r="E56" s="6">
        <v>750116</v>
      </c>
      <c r="F56" s="3"/>
      <c r="G56" s="4" t="s">
        <v>11</v>
      </c>
    </row>
    <row r="57" spans="1:8" x14ac:dyDescent="0.3">
      <c r="A57" s="4" t="s">
        <v>106</v>
      </c>
      <c r="B57" s="4" t="s">
        <v>13</v>
      </c>
      <c r="D57" s="3" t="s">
        <v>107</v>
      </c>
      <c r="E57" s="6"/>
      <c r="F57" s="3"/>
    </row>
    <row r="58" spans="1:8" x14ac:dyDescent="0.3">
      <c r="A58" s="4" t="s">
        <v>108</v>
      </c>
      <c r="B58" s="4" t="s">
        <v>13</v>
      </c>
      <c r="C58" s="5">
        <v>2888450</v>
      </c>
      <c r="D58" s="7" t="s">
        <v>135</v>
      </c>
      <c r="E58" s="6">
        <v>137320</v>
      </c>
      <c r="F58" s="3" t="s">
        <v>517</v>
      </c>
      <c r="G58" s="4" t="s">
        <v>15</v>
      </c>
      <c r="H58" s="4" t="s">
        <v>16</v>
      </c>
    </row>
    <row r="59" spans="1:8" x14ac:dyDescent="0.3">
      <c r="A59" s="4" t="s">
        <v>109</v>
      </c>
      <c r="B59" s="4" t="s">
        <v>13</v>
      </c>
      <c r="C59" s="5">
        <v>1056900</v>
      </c>
      <c r="D59" s="3" t="s">
        <v>110</v>
      </c>
      <c r="E59" s="6"/>
      <c r="F59" s="3"/>
      <c r="G59" s="4" t="s">
        <v>15</v>
      </c>
      <c r="H59" s="4" t="s">
        <v>16</v>
      </c>
    </row>
    <row r="60" spans="1:8" x14ac:dyDescent="0.3">
      <c r="A60" s="4" t="s">
        <v>111</v>
      </c>
      <c r="B60" s="4" t="s">
        <v>25</v>
      </c>
      <c r="C60" s="5">
        <v>2357000</v>
      </c>
      <c r="D60" s="3" t="s">
        <v>475</v>
      </c>
      <c r="E60" s="15">
        <v>256191</v>
      </c>
      <c r="F60" s="3" t="s">
        <v>510</v>
      </c>
      <c r="G60" s="4" t="s">
        <v>15</v>
      </c>
      <c r="H60" s="4" t="s">
        <v>27</v>
      </c>
    </row>
    <row r="61" spans="1:8" x14ac:dyDescent="0.3">
      <c r="A61" s="4" t="s">
        <v>113</v>
      </c>
      <c r="B61" s="4" t="s">
        <v>25</v>
      </c>
      <c r="C61" s="5">
        <v>5351710</v>
      </c>
      <c r="D61" s="3" t="s">
        <v>92</v>
      </c>
      <c r="E61" s="6" t="s">
        <v>514</v>
      </c>
      <c r="F61" s="3" t="s">
        <v>515</v>
      </c>
      <c r="G61" s="4" t="s">
        <v>15</v>
      </c>
      <c r="H61" s="4" t="s">
        <v>27</v>
      </c>
    </row>
    <row r="62" spans="1:8" s="10" customFormat="1" ht="15" thickBot="1" x14ac:dyDescent="0.35">
      <c r="A62" s="10" t="s">
        <v>114</v>
      </c>
      <c r="B62" s="4"/>
      <c r="C62" s="11">
        <f>SUM(C2:C61)</f>
        <v>92639045</v>
      </c>
      <c r="D62" s="4"/>
    </row>
    <row r="63" spans="1:8" ht="15" thickTop="1" x14ac:dyDescent="0.3"/>
    <row r="68" spans="4:4" x14ac:dyDescent="0.3">
      <c r="D68" s="12"/>
    </row>
  </sheetData>
  <conditionalFormatting sqref="F14:F15 I20:I27">
    <cfRule type="containsText" dxfId="125" priority="65" operator="containsText" text="No">
      <formula>NOT(ISERROR(SEARCH("No",F14)))</formula>
    </cfRule>
    <cfRule type="containsText" dxfId="124" priority="66" operator="containsText" text="Yes">
      <formula>NOT(ISERROR(SEARCH("Yes",F14)))</formula>
    </cfRule>
  </conditionalFormatting>
  <conditionalFormatting sqref="G1">
    <cfRule type="containsText" dxfId="123" priority="87" operator="containsText" text="No">
      <formula>NOT(ISERROR(SEARCH("No",G1)))</formula>
    </cfRule>
    <cfRule type="containsText" dxfId="122" priority="88" operator="containsText" text="Yes">
      <formula>NOT(ISERROR(SEARCH("Yes",G1)))</formula>
    </cfRule>
  </conditionalFormatting>
  <conditionalFormatting sqref="G16 G19">
    <cfRule type="containsText" dxfId="121" priority="77" operator="containsText" text="No">
      <formula>NOT(ISERROR(SEARCH("No",G16)))</formula>
    </cfRule>
    <cfRule type="containsText" dxfId="120" priority="78" operator="containsText" text="Yes">
      <formula>NOT(ISERROR(SEARCH("Yes",G16)))</formula>
    </cfRule>
  </conditionalFormatting>
  <conditionalFormatting sqref="G29">
    <cfRule type="containsText" dxfId="119" priority="75" operator="containsText" text="No">
      <formula>NOT(ISERROR(SEARCH("No",G29)))</formula>
    </cfRule>
    <cfRule type="containsText" dxfId="118" priority="76" operator="containsText" text="Yes">
      <formula>NOT(ISERROR(SEARCH("Yes",G29)))</formula>
    </cfRule>
  </conditionalFormatting>
  <conditionalFormatting sqref="G40">
    <cfRule type="containsText" dxfId="117" priority="91" operator="containsText" text="No">
      <formula>NOT(ISERROR(SEARCH("No",G40)))</formula>
    </cfRule>
    <cfRule type="containsText" dxfId="116" priority="92" operator="containsText" text="Yes">
      <formula>NOT(ISERROR(SEARCH("Yes",G40)))</formula>
    </cfRule>
  </conditionalFormatting>
  <conditionalFormatting sqref="G43">
    <cfRule type="containsText" dxfId="115" priority="85" operator="containsText" text="No">
      <formula>NOT(ISERROR(SEARCH("No",G43)))</formula>
    </cfRule>
    <cfRule type="containsText" dxfId="114" priority="86" operator="containsText" text="Yes">
      <formula>NOT(ISERROR(SEARCH("Yes",G43)))</formula>
    </cfRule>
  </conditionalFormatting>
  <conditionalFormatting sqref="G53">
    <cfRule type="containsText" dxfId="113" priority="83" operator="containsText" text="No">
      <formula>NOT(ISERROR(SEARCH("No",G53)))</formula>
    </cfRule>
    <cfRule type="containsText" dxfId="112" priority="84" operator="containsText" text="Yes">
      <formula>NOT(ISERROR(SEARCH("Yes",G53)))</formula>
    </cfRule>
  </conditionalFormatting>
  <conditionalFormatting sqref="G62:G1048576">
    <cfRule type="containsText" dxfId="111" priority="89" operator="containsText" text="No">
      <formula>NOT(ISERROR(SEARCH("No",G62)))</formula>
    </cfRule>
    <cfRule type="containsText" dxfId="110" priority="90" operator="containsText" text="Yes">
      <formula>NOT(ISERROR(SEARCH("Yes",G62)))</formula>
    </cfRule>
  </conditionalFormatting>
  <conditionalFormatting sqref="G2:H7">
    <cfRule type="containsText" dxfId="109" priority="1" operator="containsText" text="No">
      <formula>NOT(ISERROR(SEARCH("No",G2)))</formula>
    </cfRule>
    <cfRule type="containsText" dxfId="108" priority="2" operator="containsText" text="Yes">
      <formula>NOT(ISERROR(SEARCH("Yes",G2)))</formula>
    </cfRule>
  </conditionalFormatting>
  <conditionalFormatting sqref="G20:H28">
    <cfRule type="containsText" dxfId="107" priority="19" operator="containsText" text="No">
      <formula>NOT(ISERROR(SEARCH("No",G20)))</formula>
    </cfRule>
    <cfRule type="containsText" dxfId="106" priority="20" operator="containsText" text="Yes">
      <formula>NOT(ISERROR(SEARCH("Yes",G20)))</formula>
    </cfRule>
  </conditionalFormatting>
  <conditionalFormatting sqref="G30:H39">
    <cfRule type="containsText" dxfId="105" priority="9" operator="containsText" text="No">
      <formula>NOT(ISERROR(SEARCH("No",G30)))</formula>
    </cfRule>
    <cfRule type="containsText" dxfId="104" priority="10" operator="containsText" text="Yes">
      <formula>NOT(ISERROR(SEARCH("Yes",G30)))</formula>
    </cfRule>
  </conditionalFormatting>
  <conditionalFormatting sqref="G41:H42">
    <cfRule type="containsText" dxfId="103" priority="21" operator="containsText" text="No">
      <formula>NOT(ISERROR(SEARCH("No",G41)))</formula>
    </cfRule>
    <cfRule type="containsText" dxfId="102" priority="22" operator="containsText" text="Yes">
      <formula>NOT(ISERROR(SEARCH("Yes",G41)))</formula>
    </cfRule>
  </conditionalFormatting>
  <conditionalFormatting sqref="G44:H52">
    <cfRule type="containsText" dxfId="101" priority="5" operator="containsText" text="No">
      <formula>NOT(ISERROR(SEARCH("No",G44)))</formula>
    </cfRule>
    <cfRule type="containsText" dxfId="100" priority="6" operator="containsText" text="Yes">
      <formula>NOT(ISERROR(SEARCH("Yes",G44)))</formula>
    </cfRule>
  </conditionalFormatting>
  <conditionalFormatting sqref="G54:H61">
    <cfRule type="containsText" dxfId="99" priority="45" operator="containsText" text="No">
      <formula>NOT(ISERROR(SEARCH("No",G54)))</formula>
    </cfRule>
    <cfRule type="containsText" dxfId="98" priority="46" operator="containsText" text="Yes">
      <formula>NOT(ISERROR(SEARCH("Yes",G54)))</formula>
    </cfRule>
  </conditionalFormatting>
  <conditionalFormatting sqref="G8:I15">
    <cfRule type="containsText" dxfId="97" priority="29" operator="containsText" text="No">
      <formula>NOT(ISERROR(SEARCH("No",G8)))</formula>
    </cfRule>
    <cfRule type="containsText" dxfId="96" priority="30" operator="containsText" text="Yes">
      <formula>NOT(ISERROR(SEARCH("Yes",G8)))</formula>
    </cfRule>
  </conditionalFormatting>
  <conditionalFormatting sqref="G17:I18">
    <cfRule type="containsText" dxfId="95" priority="15" operator="containsText" text="No">
      <formula>NOT(ISERROR(SEARCH("No",G17)))</formula>
    </cfRule>
    <cfRule type="containsText" dxfId="94" priority="16" operator="containsText" text="Yes">
      <formula>NOT(ISERROR(SEARCH("Yes",G17)))</formula>
    </cfRule>
  </conditionalFormatting>
  <conditionalFormatting sqref="H28">
    <cfRule type="containsText" dxfId="93" priority="79" operator="containsText" text="No">
      <formula>NOT(ISERROR(SEARCH("No",H28)))</formula>
    </cfRule>
    <cfRule type="containsText" dxfId="92" priority="80" operator="containsText" text="Yes">
      <formula>NOT(ISERROR(SEARCH("Yes",H28)))</formula>
    </cfRule>
  </conditionalFormatting>
  <conditionalFormatting sqref="I20">
    <cfRule type="containsText" dxfId="91" priority="81" operator="containsText" text="No">
      <formula>NOT(ISERROR(SEARCH("No",I20)))</formula>
    </cfRule>
    <cfRule type="containsText" dxfId="90" priority="82" operator="containsText" text="Yes">
      <formula>NOT(ISERROR(SEARCH("Yes",I20)))</formula>
    </cfRule>
  </conditionalFormatting>
  <conditionalFormatting sqref="I30">
    <cfRule type="containsText" dxfId="89" priority="73" operator="containsText" text="No">
      <formula>NOT(ISERROR(SEARCH("No",I30)))</formula>
    </cfRule>
    <cfRule type="containsText" dxfId="88" priority="74" operator="containsText" text="Yes">
      <formula>NOT(ISERROR(SEARCH("Yes",I30)))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B3B6A-8F60-40BB-B9F6-A2F33CC38190}">
  <dimension ref="A1:I69"/>
  <sheetViews>
    <sheetView tabSelected="1" workbookViewId="0">
      <pane ySplit="1" topLeftCell="A38" activePane="bottomLeft" state="frozen"/>
      <selection pane="bottomLeft" activeCell="G47" sqref="G47"/>
    </sheetView>
  </sheetViews>
  <sheetFormatPr defaultColWidth="10" defaultRowHeight="14.4" x14ac:dyDescent="0.3"/>
  <cols>
    <col min="1" max="1" width="17.5546875" style="4" bestFit="1" customWidth="1"/>
    <col min="2" max="2" width="12.33203125" style="4" bestFit="1" customWidth="1"/>
    <col min="3" max="3" width="18.5546875" style="5" bestFit="1" customWidth="1"/>
    <col min="4" max="4" width="23.88671875" style="4" bestFit="1" customWidth="1"/>
    <col min="5" max="5" width="16.6640625" style="4" bestFit="1" customWidth="1"/>
    <col min="6" max="6" width="14.6640625" style="4" bestFit="1" customWidth="1"/>
    <col min="7" max="7" width="14.6640625" style="4" customWidth="1"/>
    <col min="8" max="8" width="12.109375" style="4" bestFit="1" customWidth="1"/>
    <col min="9" max="9" width="4.33203125" style="4" customWidth="1"/>
    <col min="10" max="16384" width="10" style="4"/>
  </cols>
  <sheetData>
    <row r="1" spans="1:9" s="1" customForma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s="1" customFormat="1" x14ac:dyDescent="0.3">
      <c r="A2" s="3" t="s">
        <v>8</v>
      </c>
      <c r="B2" s="4" t="s">
        <v>9</v>
      </c>
      <c r="C2" s="5">
        <v>1646200</v>
      </c>
      <c r="D2" s="3" t="s">
        <v>10</v>
      </c>
      <c r="E2" s="6">
        <v>20799</v>
      </c>
      <c r="F2" s="3"/>
      <c r="G2" s="4" t="s">
        <v>11</v>
      </c>
      <c r="H2" s="4"/>
      <c r="I2" s="3" t="s">
        <v>195</v>
      </c>
    </row>
    <row r="3" spans="1:9" x14ac:dyDescent="0.3">
      <c r="A3" s="4" t="s">
        <v>12</v>
      </c>
      <c r="B3" s="4" t="s">
        <v>13</v>
      </c>
      <c r="C3" s="5">
        <v>1947650</v>
      </c>
      <c r="D3" s="3" t="s">
        <v>14</v>
      </c>
      <c r="E3" s="6"/>
      <c r="F3" s="3"/>
      <c r="G3" s="4" t="s">
        <v>15</v>
      </c>
      <c r="H3" s="4" t="s">
        <v>16</v>
      </c>
      <c r="I3" s="4" t="s">
        <v>195</v>
      </c>
    </row>
    <row r="4" spans="1:9" x14ac:dyDescent="0.3">
      <c r="A4" s="4" t="s">
        <v>17</v>
      </c>
      <c r="D4" s="3"/>
      <c r="E4" s="6"/>
      <c r="F4" s="3"/>
    </row>
    <row r="5" spans="1:9" x14ac:dyDescent="0.3">
      <c r="A5" s="4" t="s">
        <v>18</v>
      </c>
      <c r="B5" s="4" t="s">
        <v>13</v>
      </c>
      <c r="C5" s="5">
        <v>1215500</v>
      </c>
      <c r="D5" s="3" t="s">
        <v>19</v>
      </c>
      <c r="E5" s="6">
        <v>23480161</v>
      </c>
      <c r="F5" s="3"/>
      <c r="G5" s="4" t="s">
        <v>15</v>
      </c>
      <c r="H5" s="4" t="s">
        <v>16</v>
      </c>
      <c r="I5" s="4" t="s">
        <v>195</v>
      </c>
    </row>
    <row r="6" spans="1:9" x14ac:dyDescent="0.3">
      <c r="A6" s="4" t="s">
        <v>20</v>
      </c>
      <c r="B6" s="4" t="s">
        <v>13</v>
      </c>
      <c r="C6" s="5">
        <v>665050</v>
      </c>
      <c r="D6" s="3" t="s">
        <v>21</v>
      </c>
      <c r="E6" s="6">
        <v>25461281</v>
      </c>
      <c r="F6" s="3"/>
      <c r="G6" s="4" t="s">
        <v>15</v>
      </c>
      <c r="H6" s="4" t="s">
        <v>16</v>
      </c>
      <c r="I6" s="4" t="s">
        <v>195</v>
      </c>
    </row>
    <row r="7" spans="1:9" x14ac:dyDescent="0.3">
      <c r="A7" s="4" t="s">
        <v>22</v>
      </c>
      <c r="B7" s="4" t="s">
        <v>13</v>
      </c>
      <c r="C7" s="5">
        <v>825200</v>
      </c>
      <c r="D7" s="3" t="s">
        <v>23</v>
      </c>
      <c r="E7" s="6">
        <v>14081209</v>
      </c>
      <c r="F7" s="3"/>
      <c r="G7" s="4" t="s">
        <v>15</v>
      </c>
      <c r="H7" s="4" t="s">
        <v>16</v>
      </c>
      <c r="I7" s="4" t="s">
        <v>195</v>
      </c>
    </row>
    <row r="8" spans="1:9" x14ac:dyDescent="0.3">
      <c r="A8" s="4" t="s">
        <v>24</v>
      </c>
      <c r="B8" s="4" t="s">
        <v>25</v>
      </c>
      <c r="C8" s="5">
        <v>800000</v>
      </c>
      <c r="D8" s="16" t="s">
        <v>26</v>
      </c>
      <c r="E8" s="6"/>
      <c r="F8" s="3" t="s">
        <v>528</v>
      </c>
      <c r="G8" s="4" t="s">
        <v>15</v>
      </c>
      <c r="H8" s="4" t="s">
        <v>27</v>
      </c>
      <c r="I8" s="4" t="s">
        <v>195</v>
      </c>
    </row>
    <row r="9" spans="1:9" x14ac:dyDescent="0.3">
      <c r="A9" s="4" t="s">
        <v>24</v>
      </c>
      <c r="B9" s="4" t="s">
        <v>25</v>
      </c>
      <c r="C9" s="5">
        <v>296150</v>
      </c>
      <c r="D9" s="3" t="s">
        <v>530</v>
      </c>
      <c r="E9" s="6"/>
      <c r="F9" s="3" t="s">
        <v>531</v>
      </c>
      <c r="G9" s="4" t="s">
        <v>15</v>
      </c>
      <c r="H9" s="4" t="s">
        <v>27</v>
      </c>
      <c r="I9" s="4" t="s">
        <v>195</v>
      </c>
    </row>
    <row r="10" spans="1:9" x14ac:dyDescent="0.3">
      <c r="A10" s="4" t="s">
        <v>28</v>
      </c>
      <c r="D10" s="3"/>
      <c r="E10" s="6"/>
      <c r="F10" s="3"/>
    </row>
    <row r="11" spans="1:9" x14ac:dyDescent="0.3">
      <c r="A11" s="4" t="s">
        <v>30</v>
      </c>
      <c r="B11" s="4" t="s">
        <v>25</v>
      </c>
      <c r="C11" s="5">
        <v>3030200</v>
      </c>
      <c r="D11" s="3" t="s">
        <v>136</v>
      </c>
      <c r="E11" s="6" t="s">
        <v>536</v>
      </c>
      <c r="F11" s="3" t="s">
        <v>537</v>
      </c>
      <c r="G11" s="4" t="s">
        <v>15</v>
      </c>
      <c r="H11" s="4" t="s">
        <v>27</v>
      </c>
      <c r="I11" s="4" t="s">
        <v>195</v>
      </c>
    </row>
    <row r="12" spans="1:9" x14ac:dyDescent="0.3">
      <c r="A12" s="4" t="s">
        <v>31</v>
      </c>
      <c r="B12" s="4" t="s">
        <v>9</v>
      </c>
      <c r="C12" s="5">
        <v>3431800</v>
      </c>
      <c r="D12" s="3" t="s">
        <v>152</v>
      </c>
      <c r="E12" s="6">
        <v>4859936</v>
      </c>
      <c r="F12" s="3"/>
      <c r="G12" s="4" t="s">
        <v>11</v>
      </c>
    </row>
    <row r="13" spans="1:9" x14ac:dyDescent="0.3">
      <c r="A13" s="4" t="s">
        <v>32</v>
      </c>
      <c r="B13" s="4" t="s">
        <v>9</v>
      </c>
      <c r="C13" s="5">
        <v>2991300</v>
      </c>
      <c r="D13" s="16" t="s">
        <v>137</v>
      </c>
      <c r="E13" s="6">
        <v>43837</v>
      </c>
      <c r="F13" s="3"/>
      <c r="G13" s="4" t="s">
        <v>11</v>
      </c>
      <c r="I13" s="4" t="s">
        <v>195</v>
      </c>
    </row>
    <row r="14" spans="1:9" x14ac:dyDescent="0.3">
      <c r="A14" s="4" t="s">
        <v>33</v>
      </c>
      <c r="B14" s="4" t="s">
        <v>13</v>
      </c>
      <c r="C14" s="5">
        <v>889500</v>
      </c>
      <c r="D14" s="3" t="s">
        <v>323</v>
      </c>
      <c r="E14" s="6"/>
      <c r="F14" s="3"/>
      <c r="G14" s="4" t="s">
        <v>15</v>
      </c>
      <c r="H14" s="4" t="s">
        <v>16</v>
      </c>
      <c r="I14" s="4" t="s">
        <v>195</v>
      </c>
    </row>
    <row r="15" spans="1:9" x14ac:dyDescent="0.3">
      <c r="A15" s="4" t="s">
        <v>35</v>
      </c>
      <c r="B15" s="4" t="s">
        <v>13</v>
      </c>
      <c r="C15" s="5">
        <v>180000</v>
      </c>
      <c r="D15" s="3" t="s">
        <v>408</v>
      </c>
      <c r="E15" s="6">
        <v>170111</v>
      </c>
      <c r="F15" s="4" t="s">
        <v>308</v>
      </c>
      <c r="G15" s="4" t="s">
        <v>15</v>
      </c>
      <c r="H15" s="4" t="s">
        <v>16</v>
      </c>
    </row>
    <row r="16" spans="1:9" x14ac:dyDescent="0.3">
      <c r="A16" s="4" t="s">
        <v>37</v>
      </c>
      <c r="B16" s="4" t="s">
        <v>13</v>
      </c>
      <c r="C16" s="5">
        <v>308390</v>
      </c>
      <c r="D16" s="3" t="s">
        <v>38</v>
      </c>
      <c r="E16" s="6"/>
      <c r="G16" s="4" t="s">
        <v>15</v>
      </c>
      <c r="H16" s="4" t="s">
        <v>16</v>
      </c>
      <c r="I16" s="4" t="s">
        <v>195</v>
      </c>
    </row>
    <row r="17" spans="1:9" x14ac:dyDescent="0.3">
      <c r="A17" s="4" t="s">
        <v>39</v>
      </c>
      <c r="D17" s="3"/>
      <c r="E17" s="6"/>
      <c r="F17" s="3"/>
    </row>
    <row r="18" spans="1:9" x14ac:dyDescent="0.3">
      <c r="A18" s="4" t="s">
        <v>40</v>
      </c>
      <c r="B18" s="4" t="s">
        <v>13</v>
      </c>
      <c r="C18" s="5">
        <v>1713600</v>
      </c>
      <c r="D18" s="3" t="s">
        <v>41</v>
      </c>
      <c r="E18" s="6">
        <v>24596401</v>
      </c>
      <c r="F18" s="3"/>
      <c r="G18" s="4" t="s">
        <v>15</v>
      </c>
      <c r="H18" s="4" t="s">
        <v>16</v>
      </c>
      <c r="I18" s="4" t="s">
        <v>195</v>
      </c>
    </row>
    <row r="19" spans="1:9" x14ac:dyDescent="0.3">
      <c r="A19" s="4" t="s">
        <v>42</v>
      </c>
      <c r="B19" s="4" t="s">
        <v>13</v>
      </c>
      <c r="C19" s="5">
        <v>820200</v>
      </c>
      <c r="D19" s="3" t="s">
        <v>128</v>
      </c>
      <c r="E19" s="6"/>
      <c r="F19" s="3"/>
      <c r="G19" s="4" t="s">
        <v>15</v>
      </c>
      <c r="H19" s="4" t="s">
        <v>16</v>
      </c>
      <c r="I19" s="4" t="s">
        <v>195</v>
      </c>
    </row>
    <row r="20" spans="1:9" x14ac:dyDescent="0.3">
      <c r="A20" s="4" t="s">
        <v>43</v>
      </c>
      <c r="D20" s="3"/>
      <c r="E20" s="6"/>
      <c r="F20" s="3"/>
    </row>
    <row r="21" spans="1:9" x14ac:dyDescent="0.3">
      <c r="A21" s="4" t="s">
        <v>44</v>
      </c>
      <c r="B21" s="4" t="s">
        <v>25</v>
      </c>
      <c r="C21" s="5">
        <v>2111600</v>
      </c>
      <c r="D21" s="3" t="s">
        <v>45</v>
      </c>
      <c r="E21" s="6" t="s">
        <v>535</v>
      </c>
      <c r="F21" s="3" t="s">
        <v>149</v>
      </c>
      <c r="G21" s="4" t="s">
        <v>15</v>
      </c>
      <c r="H21" s="4" t="s">
        <v>27</v>
      </c>
      <c r="I21" s="4" t="s">
        <v>195</v>
      </c>
    </row>
    <row r="22" spans="1:9" x14ac:dyDescent="0.3">
      <c r="A22" s="4" t="s">
        <v>46</v>
      </c>
      <c r="B22" s="4" t="s">
        <v>25</v>
      </c>
      <c r="C22" s="5">
        <v>697100</v>
      </c>
      <c r="D22" s="3" t="s">
        <v>504</v>
      </c>
      <c r="E22" s="6"/>
      <c r="F22" s="3" t="s">
        <v>117</v>
      </c>
      <c r="G22" s="4" t="s">
        <v>15</v>
      </c>
      <c r="H22" s="4" t="s">
        <v>27</v>
      </c>
      <c r="I22" s="4" t="s">
        <v>195</v>
      </c>
    </row>
    <row r="23" spans="1:9" x14ac:dyDescent="0.3">
      <c r="A23" s="4" t="s">
        <v>49</v>
      </c>
      <c r="B23" s="4" t="s">
        <v>13</v>
      </c>
      <c r="C23" s="5">
        <v>1286220</v>
      </c>
      <c r="D23" s="3" t="s">
        <v>50</v>
      </c>
      <c r="E23" s="6"/>
      <c r="F23" s="3"/>
      <c r="G23" s="4" t="s">
        <v>15</v>
      </c>
      <c r="H23" s="4" t="s">
        <v>16</v>
      </c>
      <c r="I23" s="4" t="s">
        <v>195</v>
      </c>
    </row>
    <row r="24" spans="1:9" x14ac:dyDescent="0.3">
      <c r="A24" s="4" t="s">
        <v>51</v>
      </c>
      <c r="B24" s="4" t="s">
        <v>13</v>
      </c>
      <c r="C24" s="5">
        <v>2450000</v>
      </c>
      <c r="D24" s="5" t="s">
        <v>207</v>
      </c>
      <c r="E24" s="6"/>
      <c r="F24" s="3" t="s">
        <v>526</v>
      </c>
      <c r="G24" s="4" t="s">
        <v>15</v>
      </c>
      <c r="H24" s="4" t="s">
        <v>16</v>
      </c>
      <c r="I24" s="4" t="s">
        <v>195</v>
      </c>
    </row>
    <row r="25" spans="1:9" x14ac:dyDescent="0.3">
      <c r="A25" s="4" t="s">
        <v>52</v>
      </c>
      <c r="D25" s="3"/>
      <c r="E25" s="6"/>
      <c r="F25" s="3"/>
    </row>
    <row r="26" spans="1:9" x14ac:dyDescent="0.3">
      <c r="A26" s="4" t="s">
        <v>53</v>
      </c>
      <c r="B26" s="4" t="s">
        <v>9</v>
      </c>
      <c r="C26" s="5">
        <v>4862600</v>
      </c>
      <c r="D26" s="3" t="s">
        <v>54</v>
      </c>
      <c r="E26" s="6">
        <v>6472856</v>
      </c>
      <c r="F26" s="3"/>
      <c r="G26" s="4" t="s">
        <v>11</v>
      </c>
      <c r="I26" s="4" t="s">
        <v>195</v>
      </c>
    </row>
    <row r="27" spans="1:9" x14ac:dyDescent="0.3">
      <c r="A27" s="4" t="s">
        <v>55</v>
      </c>
      <c r="B27" s="4" t="s">
        <v>13</v>
      </c>
      <c r="C27" s="5">
        <v>749900</v>
      </c>
      <c r="D27" s="3" t="s">
        <v>56</v>
      </c>
      <c r="E27" s="6">
        <v>150469</v>
      </c>
      <c r="F27" s="3" t="s">
        <v>527</v>
      </c>
      <c r="G27" s="4" t="s">
        <v>15</v>
      </c>
      <c r="H27" s="4" t="s">
        <v>16</v>
      </c>
      <c r="I27" s="4" t="s">
        <v>195</v>
      </c>
    </row>
    <row r="28" spans="1:9" x14ac:dyDescent="0.3">
      <c r="A28" s="4" t="s">
        <v>57</v>
      </c>
      <c r="B28" s="4" t="s">
        <v>13</v>
      </c>
      <c r="C28" s="5">
        <v>230660</v>
      </c>
      <c r="D28" s="3" t="s">
        <v>58</v>
      </c>
      <c r="E28" s="6">
        <v>151494</v>
      </c>
      <c r="F28" s="3" t="s">
        <v>240</v>
      </c>
      <c r="G28" s="4" t="s">
        <v>15</v>
      </c>
      <c r="H28" s="4" t="s">
        <v>16</v>
      </c>
      <c r="I28" s="4" t="s">
        <v>195</v>
      </c>
    </row>
    <row r="29" spans="1:9" x14ac:dyDescent="0.3">
      <c r="A29" s="4" t="s">
        <v>59</v>
      </c>
      <c r="D29" s="3"/>
      <c r="E29" s="6"/>
      <c r="F29" s="3"/>
      <c r="G29" s="7"/>
      <c r="H29" s="5"/>
    </row>
    <row r="30" spans="1:9" x14ac:dyDescent="0.3">
      <c r="A30" s="4" t="s">
        <v>60</v>
      </c>
      <c r="D30" s="3"/>
      <c r="E30" s="6"/>
      <c r="F30" s="3"/>
    </row>
    <row r="31" spans="1:9" x14ac:dyDescent="0.3">
      <c r="A31" s="4" t="s">
        <v>61</v>
      </c>
      <c r="B31" s="4" t="s">
        <v>13</v>
      </c>
      <c r="C31" s="5">
        <v>2208100</v>
      </c>
      <c r="D31" s="3" t="s">
        <v>243</v>
      </c>
      <c r="E31" s="6">
        <v>177706</v>
      </c>
      <c r="F31" s="3" t="s">
        <v>541</v>
      </c>
      <c r="G31" s="4" t="s">
        <v>15</v>
      </c>
      <c r="H31" s="4" t="s">
        <v>16</v>
      </c>
      <c r="I31" s="4" t="s">
        <v>195</v>
      </c>
    </row>
    <row r="32" spans="1:9" x14ac:dyDescent="0.3">
      <c r="A32" s="4" t="s">
        <v>63</v>
      </c>
      <c r="D32" s="3"/>
      <c r="E32" s="6"/>
      <c r="F32" s="3"/>
    </row>
    <row r="33" spans="1:9" x14ac:dyDescent="0.3">
      <c r="A33" s="4" t="s">
        <v>64</v>
      </c>
      <c r="B33" s="4" t="s">
        <v>13</v>
      </c>
      <c r="C33" s="5">
        <v>584850</v>
      </c>
      <c r="D33" s="3" t="s">
        <v>168</v>
      </c>
      <c r="E33" s="6">
        <v>23480950</v>
      </c>
      <c r="F33" s="3"/>
      <c r="G33" s="4" t="s">
        <v>15</v>
      </c>
      <c r="H33" s="4" t="s">
        <v>16</v>
      </c>
      <c r="I33" s="4" t="s">
        <v>195</v>
      </c>
    </row>
    <row r="34" spans="1:9" x14ac:dyDescent="0.3">
      <c r="A34" s="4" t="s">
        <v>65</v>
      </c>
      <c r="B34" s="4" t="s">
        <v>13</v>
      </c>
      <c r="C34" s="5">
        <v>1417600</v>
      </c>
      <c r="D34" s="7" t="s">
        <v>66</v>
      </c>
      <c r="E34" s="6">
        <v>23480153</v>
      </c>
      <c r="F34" s="3"/>
      <c r="G34" s="4" t="s">
        <v>15</v>
      </c>
      <c r="H34" s="4" t="s">
        <v>16</v>
      </c>
      <c r="I34" s="4" t="s">
        <v>195</v>
      </c>
    </row>
    <row r="35" spans="1:9" x14ac:dyDescent="0.3">
      <c r="A35" s="4" t="s">
        <v>67</v>
      </c>
      <c r="B35" s="4" t="s">
        <v>13</v>
      </c>
      <c r="C35" s="5">
        <v>1130000</v>
      </c>
      <c r="D35" s="3" t="s">
        <v>68</v>
      </c>
      <c r="E35" s="6">
        <v>23480151</v>
      </c>
      <c r="F35" s="3"/>
      <c r="G35" s="4" t="s">
        <v>15</v>
      </c>
      <c r="H35" s="4" t="s">
        <v>16</v>
      </c>
      <c r="I35" s="4" t="s">
        <v>195</v>
      </c>
    </row>
    <row r="36" spans="1:9" x14ac:dyDescent="0.3">
      <c r="A36" s="4" t="s">
        <v>69</v>
      </c>
      <c r="B36" s="4" t="s">
        <v>25</v>
      </c>
      <c r="C36" s="5">
        <v>1482500</v>
      </c>
      <c r="D36" s="3" t="s">
        <v>70</v>
      </c>
      <c r="E36" s="6" t="s">
        <v>532</v>
      </c>
      <c r="F36" s="3" t="s">
        <v>533</v>
      </c>
      <c r="G36" s="4" t="s">
        <v>15</v>
      </c>
      <c r="H36" s="4" t="s">
        <v>27</v>
      </c>
      <c r="I36" s="4" t="s">
        <v>195</v>
      </c>
    </row>
    <row r="37" spans="1:9" x14ac:dyDescent="0.3">
      <c r="A37" s="4" t="s">
        <v>71</v>
      </c>
      <c r="B37" s="4" t="s">
        <v>25</v>
      </c>
      <c r="C37" s="5">
        <v>4250870</v>
      </c>
      <c r="D37" s="7" t="s">
        <v>72</v>
      </c>
      <c r="E37" s="6">
        <v>4909</v>
      </c>
      <c r="F37" s="3"/>
      <c r="G37" s="4" t="s">
        <v>15</v>
      </c>
      <c r="H37" s="4" t="s">
        <v>27</v>
      </c>
      <c r="I37" s="4" t="s">
        <v>195</v>
      </c>
    </row>
    <row r="38" spans="1:9" x14ac:dyDescent="0.3">
      <c r="A38" s="4" t="s">
        <v>73</v>
      </c>
      <c r="B38" s="4" t="s">
        <v>13</v>
      </c>
      <c r="C38" s="5">
        <v>1652200</v>
      </c>
      <c r="D38" s="3" t="s">
        <v>74</v>
      </c>
      <c r="E38" s="6">
        <v>159110</v>
      </c>
      <c r="F38" s="19" t="s">
        <v>534</v>
      </c>
      <c r="G38" s="4" t="s">
        <v>15</v>
      </c>
      <c r="H38" s="4" t="s">
        <v>16</v>
      </c>
      <c r="I38" s="4" t="s">
        <v>195</v>
      </c>
    </row>
    <row r="39" spans="1:9" x14ac:dyDescent="0.3">
      <c r="A39" s="4" t="s">
        <v>75</v>
      </c>
      <c r="D39" s="3"/>
      <c r="E39" s="6"/>
      <c r="F39" s="3"/>
    </row>
    <row r="40" spans="1:9" x14ac:dyDescent="0.3">
      <c r="A40" s="4" t="s">
        <v>76</v>
      </c>
      <c r="B40" s="4" t="s">
        <v>25</v>
      </c>
      <c r="C40" s="5">
        <v>662750</v>
      </c>
      <c r="D40" s="3" t="s">
        <v>77</v>
      </c>
      <c r="E40" s="6">
        <v>975190</v>
      </c>
      <c r="F40" s="3"/>
      <c r="G40" s="4" t="s">
        <v>15</v>
      </c>
      <c r="H40" s="4" t="s">
        <v>27</v>
      </c>
      <c r="I40" s="4" t="s">
        <v>195</v>
      </c>
    </row>
    <row r="41" spans="1:9" x14ac:dyDescent="0.3">
      <c r="A41" s="4" t="s">
        <v>78</v>
      </c>
      <c r="D41" s="3"/>
      <c r="E41" s="20"/>
      <c r="F41" s="3"/>
    </row>
    <row r="42" spans="1:9" x14ac:dyDescent="0.3">
      <c r="A42" s="4" t="s">
        <v>79</v>
      </c>
      <c r="B42" s="4" t="s">
        <v>13</v>
      </c>
      <c r="C42" s="5">
        <v>1500000</v>
      </c>
      <c r="D42" s="3" t="s">
        <v>393</v>
      </c>
      <c r="E42" s="6"/>
      <c r="F42" s="3"/>
      <c r="G42" s="4" t="s">
        <v>15</v>
      </c>
      <c r="H42" s="4" t="s">
        <v>16</v>
      </c>
      <c r="I42" s="4" t="s">
        <v>195</v>
      </c>
    </row>
    <row r="43" spans="1:9" x14ac:dyDescent="0.3">
      <c r="A43" s="4" t="s">
        <v>80</v>
      </c>
      <c r="B43" s="4" t="s">
        <v>13</v>
      </c>
      <c r="C43" s="5">
        <v>696600</v>
      </c>
      <c r="D43" s="7" t="s">
        <v>115</v>
      </c>
      <c r="E43" s="6">
        <v>23480398</v>
      </c>
      <c r="F43" s="3"/>
      <c r="G43" s="4" t="s">
        <v>15</v>
      </c>
      <c r="H43" s="4" t="s">
        <v>16</v>
      </c>
      <c r="I43" s="4" t="s">
        <v>195</v>
      </c>
    </row>
    <row r="44" spans="1:9" x14ac:dyDescent="0.3">
      <c r="A44" s="4" t="s">
        <v>81</v>
      </c>
      <c r="B44" s="4" t="s">
        <v>9</v>
      </c>
      <c r="C44" s="5">
        <v>975700</v>
      </c>
      <c r="D44" s="3" t="s">
        <v>82</v>
      </c>
      <c r="E44" s="6">
        <v>21228069</v>
      </c>
      <c r="F44" s="3"/>
      <c r="G44" s="4" t="s">
        <v>11</v>
      </c>
      <c r="I44" s="4" t="s">
        <v>195</v>
      </c>
    </row>
    <row r="45" spans="1:9" x14ac:dyDescent="0.3">
      <c r="A45" s="4" t="s">
        <v>83</v>
      </c>
      <c r="B45" s="4" t="s">
        <v>13</v>
      </c>
      <c r="C45" s="5">
        <v>3576900</v>
      </c>
      <c r="D45" s="3" t="s">
        <v>313</v>
      </c>
      <c r="E45" s="6">
        <v>186814</v>
      </c>
      <c r="F45" s="3" t="s">
        <v>544</v>
      </c>
      <c r="G45" s="4" t="s">
        <v>15</v>
      </c>
      <c r="H45" s="4" t="s">
        <v>16</v>
      </c>
      <c r="I45" s="4" t="s">
        <v>195</v>
      </c>
    </row>
    <row r="46" spans="1:9" x14ac:dyDescent="0.3">
      <c r="A46" s="4" t="s">
        <v>85</v>
      </c>
      <c r="B46" s="4" t="s">
        <v>13</v>
      </c>
      <c r="C46" s="5">
        <v>6155500</v>
      </c>
      <c r="D46" s="3" t="s">
        <v>86</v>
      </c>
      <c r="E46" s="6">
        <v>197794</v>
      </c>
      <c r="F46" s="3"/>
      <c r="G46" s="4" t="s">
        <v>11</v>
      </c>
    </row>
    <row r="47" spans="1:9" x14ac:dyDescent="0.3">
      <c r="A47" s="4" t="s">
        <v>87</v>
      </c>
      <c r="B47" s="4" t="s">
        <v>25</v>
      </c>
      <c r="C47" s="5">
        <v>2262500</v>
      </c>
      <c r="D47" s="3" t="s">
        <v>88</v>
      </c>
      <c r="E47" s="6" t="s">
        <v>542</v>
      </c>
      <c r="F47" s="3" t="s">
        <v>543</v>
      </c>
      <c r="G47" s="4" t="s">
        <v>15</v>
      </c>
      <c r="H47" s="4" t="s">
        <v>27</v>
      </c>
      <c r="I47" s="4" t="s">
        <v>195</v>
      </c>
    </row>
    <row r="48" spans="1:9" x14ac:dyDescent="0.3">
      <c r="A48" s="4" t="s">
        <v>89</v>
      </c>
      <c r="B48" s="4" t="s">
        <v>13</v>
      </c>
      <c r="C48" s="5">
        <v>2350650</v>
      </c>
      <c r="D48" s="3" t="s">
        <v>90</v>
      </c>
      <c r="E48" s="6"/>
      <c r="F48" s="3"/>
      <c r="G48" s="4" t="s">
        <v>15</v>
      </c>
      <c r="H48" s="4" t="s">
        <v>16</v>
      </c>
      <c r="I48" s="4" t="s">
        <v>195</v>
      </c>
    </row>
    <row r="49" spans="1:9" x14ac:dyDescent="0.3">
      <c r="A49" s="4" t="s">
        <v>91</v>
      </c>
      <c r="B49" s="4" t="s">
        <v>9</v>
      </c>
      <c r="C49" s="5">
        <v>808000</v>
      </c>
      <c r="D49" s="7" t="s">
        <v>92</v>
      </c>
      <c r="E49" s="6">
        <v>20498280</v>
      </c>
      <c r="F49" s="3"/>
      <c r="G49" s="4" t="s">
        <v>11</v>
      </c>
      <c r="I49" s="4" t="s">
        <v>195</v>
      </c>
    </row>
    <row r="50" spans="1:9" x14ac:dyDescent="0.3">
      <c r="A50" s="4" t="s">
        <v>419</v>
      </c>
      <c r="B50" s="4" t="s">
        <v>25</v>
      </c>
      <c r="C50" s="5">
        <v>6345350</v>
      </c>
      <c r="D50" s="7" t="s">
        <v>472</v>
      </c>
      <c r="E50" s="6" t="s">
        <v>545</v>
      </c>
      <c r="F50" s="3" t="s">
        <v>546</v>
      </c>
      <c r="G50" s="4" t="s">
        <v>11</v>
      </c>
    </row>
    <row r="51" spans="1:9" x14ac:dyDescent="0.3">
      <c r="A51" s="4" t="s">
        <v>93</v>
      </c>
      <c r="B51" s="4" t="s">
        <v>13</v>
      </c>
      <c r="C51" s="5">
        <v>1455800</v>
      </c>
      <c r="D51" s="3" t="s">
        <v>259</v>
      </c>
      <c r="E51" s="6">
        <v>156035</v>
      </c>
      <c r="F51" s="3" t="s">
        <v>529</v>
      </c>
      <c r="G51" s="4" t="s">
        <v>15</v>
      </c>
      <c r="H51" s="4" t="s">
        <v>16</v>
      </c>
      <c r="I51" s="4" t="s">
        <v>195</v>
      </c>
    </row>
    <row r="52" spans="1:9" x14ac:dyDescent="0.3">
      <c r="A52" s="4" t="s">
        <v>95</v>
      </c>
      <c r="D52" s="7"/>
      <c r="E52" s="6"/>
      <c r="F52" s="3"/>
    </row>
    <row r="53" spans="1:9" x14ac:dyDescent="0.3">
      <c r="A53" s="4" t="s">
        <v>96</v>
      </c>
      <c r="B53" s="4" t="s">
        <v>13</v>
      </c>
      <c r="C53" s="5">
        <v>979200</v>
      </c>
      <c r="D53" s="7" t="s">
        <v>307</v>
      </c>
      <c r="E53" s="6">
        <v>156849</v>
      </c>
      <c r="F53" s="19" t="s">
        <v>531</v>
      </c>
      <c r="G53" s="4" t="s">
        <v>15</v>
      </c>
      <c r="H53" s="4" t="s">
        <v>16</v>
      </c>
      <c r="I53" s="4" t="s">
        <v>195</v>
      </c>
    </row>
    <row r="54" spans="1:9" x14ac:dyDescent="0.3">
      <c r="A54" s="4" t="s">
        <v>98</v>
      </c>
      <c r="B54" s="4" t="s">
        <v>9</v>
      </c>
      <c r="C54" s="5">
        <v>716300</v>
      </c>
      <c r="D54" s="3" t="s">
        <v>99</v>
      </c>
      <c r="E54" s="6">
        <v>21228067</v>
      </c>
      <c r="F54" s="3"/>
      <c r="G54" s="4" t="s">
        <v>11</v>
      </c>
      <c r="I54" s="4" t="s">
        <v>195</v>
      </c>
    </row>
    <row r="55" spans="1:9" x14ac:dyDescent="0.3">
      <c r="A55" s="4" t="s">
        <v>100</v>
      </c>
      <c r="B55" s="4" t="s">
        <v>9</v>
      </c>
      <c r="C55" s="5">
        <v>1058600</v>
      </c>
      <c r="D55" s="8" t="s">
        <v>326</v>
      </c>
      <c r="E55" s="9">
        <v>1083399</v>
      </c>
      <c r="F55" s="7"/>
      <c r="G55" s="7" t="s">
        <v>11</v>
      </c>
      <c r="I55" s="4" t="s">
        <v>195</v>
      </c>
    </row>
    <row r="56" spans="1:9" x14ac:dyDescent="0.3">
      <c r="A56" s="4" t="s">
        <v>102</v>
      </c>
      <c r="B56" s="4" t="s">
        <v>9</v>
      </c>
      <c r="C56" s="5">
        <v>2775800</v>
      </c>
      <c r="D56" s="3" t="s">
        <v>103</v>
      </c>
      <c r="E56" s="6">
        <v>73770</v>
      </c>
      <c r="F56" s="3"/>
      <c r="G56" s="4" t="s">
        <v>11</v>
      </c>
      <c r="I56" s="4" t="s">
        <v>195</v>
      </c>
    </row>
    <row r="57" spans="1:9" x14ac:dyDescent="0.3">
      <c r="A57" s="4" t="s">
        <v>104</v>
      </c>
      <c r="B57" s="4" t="s">
        <v>9</v>
      </c>
      <c r="C57" s="5">
        <v>2300700</v>
      </c>
      <c r="D57" s="3" t="s">
        <v>105</v>
      </c>
      <c r="E57" s="6">
        <v>750121</v>
      </c>
      <c r="F57" s="3"/>
      <c r="G57" s="4" t="s">
        <v>11</v>
      </c>
      <c r="I57" s="4" t="s">
        <v>195</v>
      </c>
    </row>
    <row r="58" spans="1:9" x14ac:dyDescent="0.3">
      <c r="A58" s="4" t="s">
        <v>106</v>
      </c>
      <c r="B58" s="4" t="s">
        <v>13</v>
      </c>
      <c r="C58" s="5">
        <v>3927000</v>
      </c>
      <c r="D58" s="3" t="s">
        <v>107</v>
      </c>
      <c r="E58" s="6">
        <v>23211442</v>
      </c>
      <c r="F58" s="3"/>
      <c r="G58" s="4" t="s">
        <v>15</v>
      </c>
      <c r="H58" s="4" t="s">
        <v>16</v>
      </c>
      <c r="I58" s="4" t="s">
        <v>195</v>
      </c>
    </row>
    <row r="59" spans="1:9" x14ac:dyDescent="0.3">
      <c r="A59" s="4" t="s">
        <v>108</v>
      </c>
      <c r="B59" s="4" t="s">
        <v>13</v>
      </c>
      <c r="C59" s="5">
        <v>3085050</v>
      </c>
      <c r="D59" s="7" t="s">
        <v>135</v>
      </c>
      <c r="E59" s="6">
        <v>22889077</v>
      </c>
      <c r="F59" s="3"/>
      <c r="G59" s="4" t="s">
        <v>15</v>
      </c>
      <c r="H59" s="4" t="s">
        <v>16</v>
      </c>
      <c r="I59" s="4" t="s">
        <v>195</v>
      </c>
    </row>
    <row r="60" spans="1:9" x14ac:dyDescent="0.3">
      <c r="A60" s="4" t="s">
        <v>109</v>
      </c>
      <c r="B60" s="4" t="s">
        <v>13</v>
      </c>
      <c r="C60" s="5">
        <v>1036850</v>
      </c>
      <c r="D60" s="3" t="s">
        <v>110</v>
      </c>
      <c r="E60" s="6"/>
      <c r="F60" s="3"/>
      <c r="G60" s="4" t="s">
        <v>15</v>
      </c>
      <c r="H60" s="4" t="s">
        <v>16</v>
      </c>
      <c r="I60" s="4" t="s">
        <v>195</v>
      </c>
    </row>
    <row r="61" spans="1:9" x14ac:dyDescent="0.3">
      <c r="A61" s="4" t="s">
        <v>111</v>
      </c>
      <c r="B61" s="4" t="s">
        <v>25</v>
      </c>
      <c r="C61" s="5">
        <v>1432500</v>
      </c>
      <c r="D61" s="3" t="s">
        <v>475</v>
      </c>
      <c r="E61" s="6" t="s">
        <v>538</v>
      </c>
      <c r="F61" s="3" t="s">
        <v>539</v>
      </c>
      <c r="G61" s="4" t="s">
        <v>11</v>
      </c>
      <c r="I61" s="4" t="s">
        <v>195</v>
      </c>
    </row>
    <row r="62" spans="1:9" x14ac:dyDescent="0.3">
      <c r="A62" s="4" t="s">
        <v>113</v>
      </c>
      <c r="B62" s="4" t="s">
        <v>25</v>
      </c>
      <c r="C62" s="5">
        <v>6471930</v>
      </c>
      <c r="D62" s="3" t="s">
        <v>92</v>
      </c>
      <c r="E62" s="6"/>
      <c r="F62" s="3" t="s">
        <v>540</v>
      </c>
      <c r="G62" s="4" t="s">
        <v>11</v>
      </c>
      <c r="I62" s="4" t="s">
        <v>195</v>
      </c>
    </row>
    <row r="63" spans="1:9" s="10" customFormat="1" ht="15" thickBot="1" x14ac:dyDescent="0.35">
      <c r="A63" s="10" t="s">
        <v>114</v>
      </c>
      <c r="B63" s="4"/>
      <c r="C63" s="11">
        <f>SUM(C2:C62)</f>
        <v>96448620</v>
      </c>
      <c r="D63" s="4"/>
    </row>
    <row r="64" spans="1:9" ht="15" thickTop="1" x14ac:dyDescent="0.3"/>
    <row r="69" spans="4:4" x14ac:dyDescent="0.3">
      <c r="D69" s="12"/>
    </row>
  </sheetData>
  <conditionalFormatting sqref="F15:F16 I21:I28">
    <cfRule type="containsText" dxfId="87" priority="67" operator="containsText" text="No">
      <formula>NOT(ISERROR(SEARCH("No",F15)))</formula>
    </cfRule>
    <cfRule type="containsText" dxfId="86" priority="68" operator="containsText" text="Yes">
      <formula>NOT(ISERROR(SEARCH("Yes",F15)))</formula>
    </cfRule>
  </conditionalFormatting>
  <conditionalFormatting sqref="G1">
    <cfRule type="containsText" dxfId="85" priority="83" operator="containsText" text="No">
      <formula>NOT(ISERROR(SEARCH("No",G1)))</formula>
    </cfRule>
    <cfRule type="containsText" dxfId="84" priority="84" operator="containsText" text="Yes">
      <formula>NOT(ISERROR(SEARCH("Yes",G1)))</formula>
    </cfRule>
  </conditionalFormatting>
  <conditionalFormatting sqref="G17 G20">
    <cfRule type="containsText" dxfId="83" priority="73" operator="containsText" text="No">
      <formula>NOT(ISERROR(SEARCH("No",G17)))</formula>
    </cfRule>
    <cfRule type="containsText" dxfId="82" priority="74" operator="containsText" text="Yes">
      <formula>NOT(ISERROR(SEARCH("Yes",G17)))</formula>
    </cfRule>
  </conditionalFormatting>
  <conditionalFormatting sqref="G30">
    <cfRule type="containsText" dxfId="81" priority="71" operator="containsText" text="No">
      <formula>NOT(ISERROR(SEARCH("No",G30)))</formula>
    </cfRule>
    <cfRule type="containsText" dxfId="80" priority="72" operator="containsText" text="Yes">
      <formula>NOT(ISERROR(SEARCH("Yes",G30)))</formula>
    </cfRule>
  </conditionalFormatting>
  <conditionalFormatting sqref="G41">
    <cfRule type="containsText" dxfId="79" priority="87" operator="containsText" text="No">
      <formula>NOT(ISERROR(SEARCH("No",G41)))</formula>
    </cfRule>
    <cfRule type="containsText" dxfId="78" priority="88" operator="containsText" text="Yes">
      <formula>NOT(ISERROR(SEARCH("Yes",G41)))</formula>
    </cfRule>
  </conditionalFormatting>
  <conditionalFormatting sqref="G44">
    <cfRule type="containsText" dxfId="77" priority="81" operator="containsText" text="No">
      <formula>NOT(ISERROR(SEARCH("No",G44)))</formula>
    </cfRule>
    <cfRule type="containsText" dxfId="76" priority="82" operator="containsText" text="Yes">
      <formula>NOT(ISERROR(SEARCH("Yes",G44)))</formula>
    </cfRule>
  </conditionalFormatting>
  <conditionalFormatting sqref="G54">
    <cfRule type="containsText" dxfId="75" priority="79" operator="containsText" text="No">
      <formula>NOT(ISERROR(SEARCH("No",G54)))</formula>
    </cfRule>
    <cfRule type="containsText" dxfId="74" priority="80" operator="containsText" text="Yes">
      <formula>NOT(ISERROR(SEARCH("Yes",G54)))</formula>
    </cfRule>
  </conditionalFormatting>
  <conditionalFormatting sqref="G63:G1048576">
    <cfRule type="containsText" dxfId="73" priority="85" operator="containsText" text="No">
      <formula>NOT(ISERROR(SEARCH("No",G63)))</formula>
    </cfRule>
    <cfRule type="containsText" dxfId="72" priority="86" operator="containsText" text="Yes">
      <formula>NOT(ISERROR(SEARCH("Yes",G63)))</formula>
    </cfRule>
  </conditionalFormatting>
  <conditionalFormatting sqref="G2:H2 G4:H4">
    <cfRule type="containsText" dxfId="71" priority="51" operator="containsText" text="No">
      <formula>NOT(ISERROR(SEARCH("No",G2)))</formula>
    </cfRule>
    <cfRule type="containsText" dxfId="70" priority="52" operator="containsText" text="Yes">
      <formula>NOT(ISERROR(SEARCH("Yes",G2)))</formula>
    </cfRule>
  </conditionalFormatting>
  <conditionalFormatting sqref="G22:H29">
    <cfRule type="containsText" dxfId="69" priority="59" operator="containsText" text="No">
      <formula>NOT(ISERROR(SEARCH("No",G22)))</formula>
    </cfRule>
    <cfRule type="containsText" dxfId="68" priority="60" operator="containsText" text="Yes">
      <formula>NOT(ISERROR(SEARCH("Yes",G22)))</formula>
    </cfRule>
  </conditionalFormatting>
  <conditionalFormatting sqref="G32:H32 G37:H37 G39:H40">
    <cfRule type="containsText" dxfId="67" priority="55" operator="containsText" text="No">
      <formula>NOT(ISERROR(SEARCH("No",G32)))</formula>
    </cfRule>
    <cfRule type="containsText" dxfId="66" priority="56" operator="containsText" text="Yes">
      <formula>NOT(ISERROR(SEARCH("Yes",G32)))</formula>
    </cfRule>
  </conditionalFormatting>
  <conditionalFormatting sqref="G46:H47 G49:H50 G52:H52">
    <cfRule type="containsText" dxfId="63" priority="53" operator="containsText" text="No">
      <formula>NOT(ISERROR(SEARCH("No",G46)))</formula>
    </cfRule>
    <cfRule type="containsText" dxfId="62" priority="54" operator="containsText" text="Yes">
      <formula>NOT(ISERROR(SEARCH("Yes",G46)))</formula>
    </cfRule>
  </conditionalFormatting>
  <conditionalFormatting sqref="G55:H57 G61:H62">
    <cfRule type="containsText" dxfId="61" priority="65" operator="containsText" text="No">
      <formula>NOT(ISERROR(SEARCH("No",G55)))</formula>
    </cfRule>
    <cfRule type="containsText" dxfId="60" priority="66" operator="containsText" text="Yes">
      <formula>NOT(ISERROR(SEARCH("Yes",G55)))</formula>
    </cfRule>
  </conditionalFormatting>
  <conditionalFormatting sqref="G8:I13 I14:I16">
    <cfRule type="containsText" dxfId="59" priority="63" operator="containsText" text="No">
      <formula>NOT(ISERROR(SEARCH("No",G8)))</formula>
    </cfRule>
    <cfRule type="containsText" dxfId="58" priority="64" operator="containsText" text="Yes">
      <formula>NOT(ISERROR(SEARCH("Yes",G8)))</formula>
    </cfRule>
  </conditionalFormatting>
  <conditionalFormatting sqref="I18:I19">
    <cfRule type="containsText" dxfId="57" priority="57" operator="containsText" text="No">
      <formula>NOT(ISERROR(SEARCH("No",I18)))</formula>
    </cfRule>
    <cfRule type="containsText" dxfId="56" priority="58" operator="containsText" text="Yes">
      <formula>NOT(ISERROR(SEARCH("Yes",I18)))</formula>
    </cfRule>
  </conditionalFormatting>
  <conditionalFormatting sqref="H29">
    <cfRule type="containsText" dxfId="55" priority="75" operator="containsText" text="No">
      <formula>NOT(ISERROR(SEARCH("No",H29)))</formula>
    </cfRule>
    <cfRule type="containsText" dxfId="54" priority="76" operator="containsText" text="Yes">
      <formula>NOT(ISERROR(SEARCH("Yes",H29)))</formula>
    </cfRule>
  </conditionalFormatting>
  <conditionalFormatting sqref="I21">
    <cfRule type="containsText" dxfId="53" priority="77" operator="containsText" text="No">
      <formula>NOT(ISERROR(SEARCH("No",I21)))</formula>
    </cfRule>
    <cfRule type="containsText" dxfId="52" priority="78" operator="containsText" text="Yes">
      <formula>NOT(ISERROR(SEARCH("Yes",I21)))</formula>
    </cfRule>
  </conditionalFormatting>
  <conditionalFormatting sqref="I31">
    <cfRule type="containsText" dxfId="51" priority="69" operator="containsText" text="No">
      <formula>NOT(ISERROR(SEARCH("No",I31)))</formula>
    </cfRule>
    <cfRule type="containsText" dxfId="50" priority="70" operator="containsText" text="Yes">
      <formula>NOT(ISERROR(SEARCH("Yes",I31)))</formula>
    </cfRule>
  </conditionalFormatting>
  <conditionalFormatting sqref="G36:H36">
    <cfRule type="containsText" dxfId="49" priority="49" operator="containsText" text="No">
      <formula>NOT(ISERROR(SEARCH("No",G36)))</formula>
    </cfRule>
    <cfRule type="containsText" dxfId="48" priority="50" operator="containsText" text="Yes">
      <formula>NOT(ISERROR(SEARCH("Yes",G36)))</formula>
    </cfRule>
  </conditionalFormatting>
  <conditionalFormatting sqref="G21:H21">
    <cfRule type="containsText" dxfId="47" priority="47" operator="containsText" text="No">
      <formula>NOT(ISERROR(SEARCH("No",G21)))</formula>
    </cfRule>
    <cfRule type="containsText" dxfId="46" priority="48" operator="containsText" text="Yes">
      <formula>NOT(ISERROR(SEARCH("Yes",G21)))</formula>
    </cfRule>
  </conditionalFormatting>
  <conditionalFormatting sqref="G60:H60">
    <cfRule type="containsText" dxfId="45" priority="45" operator="containsText" text="No">
      <formula>NOT(ISERROR(SEARCH("No",G60)))</formula>
    </cfRule>
    <cfRule type="containsText" dxfId="44" priority="46" operator="containsText" text="Yes">
      <formula>NOT(ISERROR(SEARCH("Yes",G60)))</formula>
    </cfRule>
  </conditionalFormatting>
  <conditionalFormatting sqref="G48:H48">
    <cfRule type="containsText" dxfId="43" priority="43" operator="containsText" text="No">
      <formula>NOT(ISERROR(SEARCH("No",G48)))</formula>
    </cfRule>
    <cfRule type="containsText" dxfId="42" priority="44" operator="containsText" text="Yes">
      <formula>NOT(ISERROR(SEARCH("Yes",G48)))</formula>
    </cfRule>
  </conditionalFormatting>
  <conditionalFormatting sqref="G16:H16">
    <cfRule type="containsText" dxfId="41" priority="41" operator="containsText" text="No">
      <formula>NOT(ISERROR(SEARCH("No",G16)))</formula>
    </cfRule>
    <cfRule type="containsText" dxfId="40" priority="42" operator="containsText" text="Yes">
      <formula>NOT(ISERROR(SEARCH("Yes",G16)))</formula>
    </cfRule>
  </conditionalFormatting>
  <conditionalFormatting sqref="G6:H6">
    <cfRule type="containsText" dxfId="39" priority="39" operator="containsText" text="No">
      <formula>NOT(ISERROR(SEARCH("No",G6)))</formula>
    </cfRule>
    <cfRule type="containsText" dxfId="38" priority="40" operator="containsText" text="Yes">
      <formula>NOT(ISERROR(SEARCH("Yes",G6)))</formula>
    </cfRule>
  </conditionalFormatting>
  <conditionalFormatting sqref="G7:H7">
    <cfRule type="containsText" dxfId="37" priority="37" operator="containsText" text="No">
      <formula>NOT(ISERROR(SEARCH("No",G7)))</formula>
    </cfRule>
    <cfRule type="containsText" dxfId="36" priority="38" operator="containsText" text="Yes">
      <formula>NOT(ISERROR(SEARCH("Yes",G7)))</formula>
    </cfRule>
  </conditionalFormatting>
  <conditionalFormatting sqref="G51:H51">
    <cfRule type="containsText" dxfId="35" priority="35" operator="containsText" text="No">
      <formula>NOT(ISERROR(SEARCH("No",G51)))</formula>
    </cfRule>
    <cfRule type="containsText" dxfId="34" priority="36" operator="containsText" text="Yes">
      <formula>NOT(ISERROR(SEARCH("Yes",G51)))</formula>
    </cfRule>
  </conditionalFormatting>
  <conditionalFormatting sqref="G43:H43">
    <cfRule type="containsText" dxfId="33" priority="33" operator="containsText" text="No">
      <formula>NOT(ISERROR(SEARCH("No",G43)))</formula>
    </cfRule>
    <cfRule type="containsText" dxfId="32" priority="34" operator="containsText" text="Yes">
      <formula>NOT(ISERROR(SEARCH("Yes",G43)))</formula>
    </cfRule>
  </conditionalFormatting>
  <conditionalFormatting sqref="G14:H14">
    <cfRule type="containsText" dxfId="31" priority="31" operator="containsText" text="No">
      <formula>NOT(ISERROR(SEARCH("No",G14)))</formula>
    </cfRule>
    <cfRule type="containsText" dxfId="30" priority="32" operator="containsText" text="Yes">
      <formula>NOT(ISERROR(SEARCH("Yes",G14)))</formula>
    </cfRule>
  </conditionalFormatting>
  <conditionalFormatting sqref="G38:H38">
    <cfRule type="containsText" dxfId="29" priority="29" operator="containsText" text="No">
      <formula>NOT(ISERROR(SEARCH("No",G38)))</formula>
    </cfRule>
    <cfRule type="containsText" dxfId="28" priority="30" operator="containsText" text="Yes">
      <formula>NOT(ISERROR(SEARCH("Yes",G38)))</formula>
    </cfRule>
  </conditionalFormatting>
  <conditionalFormatting sqref="G35:H35">
    <cfRule type="containsText" dxfId="27" priority="27" operator="containsText" text="No">
      <formula>NOT(ISERROR(SEARCH("No",G35)))</formula>
    </cfRule>
    <cfRule type="containsText" dxfId="26" priority="28" operator="containsText" text="Yes">
      <formula>NOT(ISERROR(SEARCH("Yes",G35)))</formula>
    </cfRule>
  </conditionalFormatting>
  <conditionalFormatting sqref="G19:H19">
    <cfRule type="containsText" dxfId="25" priority="25" operator="containsText" text="No">
      <formula>NOT(ISERROR(SEARCH("No",G19)))</formula>
    </cfRule>
    <cfRule type="containsText" dxfId="24" priority="26" operator="containsText" text="Yes">
      <formula>NOT(ISERROR(SEARCH("Yes",G19)))</formula>
    </cfRule>
  </conditionalFormatting>
  <conditionalFormatting sqref="G53:H53">
    <cfRule type="containsText" dxfId="23" priority="23" operator="containsText" text="No">
      <formula>NOT(ISERROR(SEARCH("No",G53)))</formula>
    </cfRule>
    <cfRule type="containsText" dxfId="22" priority="24" operator="containsText" text="Yes">
      <formula>NOT(ISERROR(SEARCH("Yes",G53)))</formula>
    </cfRule>
  </conditionalFormatting>
  <conditionalFormatting sqref="G18:H18">
    <cfRule type="containsText" dxfId="21" priority="21" operator="containsText" text="No">
      <formula>NOT(ISERROR(SEARCH("No",G18)))</formula>
    </cfRule>
    <cfRule type="containsText" dxfId="20" priority="22" operator="containsText" text="Yes">
      <formula>NOT(ISERROR(SEARCH("Yes",G18)))</formula>
    </cfRule>
  </conditionalFormatting>
  <conditionalFormatting sqref="G34:H34">
    <cfRule type="containsText" dxfId="19" priority="19" operator="containsText" text="No">
      <formula>NOT(ISERROR(SEARCH("No",G34)))</formula>
    </cfRule>
    <cfRule type="containsText" dxfId="18" priority="20" operator="containsText" text="Yes">
      <formula>NOT(ISERROR(SEARCH("Yes",G34)))</formula>
    </cfRule>
  </conditionalFormatting>
  <conditionalFormatting sqref="G59:H59">
    <cfRule type="containsText" dxfId="17" priority="17" operator="containsText" text="No">
      <formula>NOT(ISERROR(SEARCH("No",G59)))</formula>
    </cfRule>
    <cfRule type="containsText" dxfId="16" priority="18" operator="containsText" text="Yes">
      <formula>NOT(ISERROR(SEARCH("Yes",G59)))</formula>
    </cfRule>
  </conditionalFormatting>
  <conditionalFormatting sqref="G33:H33">
    <cfRule type="containsText" dxfId="15" priority="15" operator="containsText" text="No">
      <formula>NOT(ISERROR(SEARCH("No",G33)))</formula>
    </cfRule>
    <cfRule type="containsText" dxfId="14" priority="16" operator="containsText" text="Yes">
      <formula>NOT(ISERROR(SEARCH("Yes",G33)))</formula>
    </cfRule>
  </conditionalFormatting>
  <conditionalFormatting sqref="G42:H42">
    <cfRule type="containsText" dxfId="13" priority="13" operator="containsText" text="No">
      <formula>NOT(ISERROR(SEARCH("No",G42)))</formula>
    </cfRule>
    <cfRule type="containsText" dxfId="12" priority="14" operator="containsText" text="Yes">
      <formula>NOT(ISERROR(SEARCH("Yes",G42)))</formula>
    </cfRule>
  </conditionalFormatting>
  <conditionalFormatting sqref="G5:H5">
    <cfRule type="containsText" dxfId="11" priority="11" operator="containsText" text="No">
      <formula>NOT(ISERROR(SEARCH("No",G5)))</formula>
    </cfRule>
    <cfRule type="containsText" dxfId="10" priority="12" operator="containsText" text="Yes">
      <formula>NOT(ISERROR(SEARCH("Yes",G5)))</formula>
    </cfRule>
  </conditionalFormatting>
  <conditionalFormatting sqref="G31:H31">
    <cfRule type="containsText" dxfId="9" priority="9" operator="containsText" text="No">
      <formula>NOT(ISERROR(SEARCH("No",G31)))</formula>
    </cfRule>
    <cfRule type="containsText" dxfId="8" priority="10" operator="containsText" text="Yes">
      <formula>NOT(ISERROR(SEARCH("Yes",G31)))</formula>
    </cfRule>
  </conditionalFormatting>
  <conditionalFormatting sqref="G15:H15">
    <cfRule type="containsText" dxfId="7" priority="7" operator="containsText" text="No">
      <formula>NOT(ISERROR(SEARCH("No",G15)))</formula>
    </cfRule>
    <cfRule type="containsText" dxfId="6" priority="8" operator="containsText" text="Yes">
      <formula>NOT(ISERROR(SEARCH("Yes",G15)))</formula>
    </cfRule>
  </conditionalFormatting>
  <conditionalFormatting sqref="G58:H58">
    <cfRule type="containsText" dxfId="5" priority="5" operator="containsText" text="No">
      <formula>NOT(ISERROR(SEARCH("No",G58)))</formula>
    </cfRule>
    <cfRule type="containsText" dxfId="4" priority="6" operator="containsText" text="Yes">
      <formula>NOT(ISERROR(SEARCH("Yes",G58)))</formula>
    </cfRule>
  </conditionalFormatting>
  <conditionalFormatting sqref="G45:H45">
    <cfRule type="containsText" dxfId="3" priority="3" operator="containsText" text="No">
      <formula>NOT(ISERROR(SEARCH("No",G45)))</formula>
    </cfRule>
    <cfRule type="containsText" dxfId="2" priority="4" operator="containsText" text="Yes">
      <formula>NOT(ISERROR(SEARCH("Yes",G45)))</formula>
    </cfRule>
  </conditionalFormatting>
  <conditionalFormatting sqref="G3:H3">
    <cfRule type="containsText" dxfId="1" priority="1" operator="containsText" text="No">
      <formula>NOT(ISERROR(SEARCH("No",G3)))</formula>
    </cfRule>
    <cfRule type="containsText" dxfId="0" priority="2" operator="containsText" text="Yes">
      <formula>NOT(ISERROR(SEARCH("Yes",G3)))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SUMMARY</vt:lpstr>
      <vt:lpstr>01-09-2026</vt:lpstr>
      <vt:lpstr>02-09-2026</vt:lpstr>
      <vt:lpstr>03-09-2026</vt:lpstr>
      <vt:lpstr>04-09-2026</vt:lpstr>
      <vt:lpstr>05-09-2026</vt:lpstr>
      <vt:lpstr>06-09-2026</vt:lpstr>
      <vt:lpstr>07-09-2026</vt:lpstr>
      <vt:lpstr>08-09-2026</vt:lpstr>
      <vt:lpstr>09-09-2026</vt:lpstr>
      <vt:lpstr>10-09-2026</vt:lpstr>
      <vt:lpstr>11-09-2026</vt:lpstr>
      <vt:lpstr>12-09-2026</vt:lpstr>
      <vt:lpstr>13-09-2026</vt:lpstr>
      <vt:lpstr>14-09-2026</vt:lpstr>
      <vt:lpstr>15-09-2026</vt:lpstr>
      <vt:lpstr>16-09-2026</vt:lpstr>
      <vt:lpstr>17-09-2026</vt:lpstr>
      <vt:lpstr>18-09-2026</vt:lpstr>
      <vt:lpstr>19-09-2026</vt:lpstr>
      <vt:lpstr>20-09-2026</vt:lpstr>
      <vt:lpstr>21-09-2026</vt:lpstr>
      <vt:lpstr>22-09-2026</vt:lpstr>
      <vt:lpstr>23-09-2026</vt:lpstr>
      <vt:lpstr>24-09-2026</vt:lpstr>
      <vt:lpstr>25-09-2026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COOPER HAMMED</dc:creator>
  <cp:lastModifiedBy>COOPER HAMMED</cp:lastModifiedBy>
  <dcterms:created xsi:type="dcterms:W3CDTF">2026-09-01T16:30:42Z</dcterms:created>
  <dcterms:modified xsi:type="dcterms:W3CDTF">2026-09-25T17:03:22Z</dcterms:modified>
</cp:coreProperties>
</file>